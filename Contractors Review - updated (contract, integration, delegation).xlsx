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 Ledger Detail" sheetId="1" state="visible" r:id="rId1"/>
    <sheet name="Summary" sheetId="2" state="visible" r:id="rId2"/>
  </sheets>
  <definedNames>
    <definedName name="_xlnm._FilterDatabase" localSheetId="0" hidden="1">'General Ledger Detail'!$A$175:$J$216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\ mmm\ yyyy"/>
    <numFmt numFmtId="165" formatCode="#,##0.00;\(#,##0.00\)"/>
    <numFmt numFmtId="166" formatCode="0.00##\%"/>
    <numFmt numFmtId="167" formatCode="_-* #,##0_-;\-* #,##0_-;_-* &quot;-&quot;??_-;_-@"/>
  </numFmts>
  <fonts count="9">
    <font>
      <name val="Arial"/>
      <color theme="1"/>
      <sz val="9"/>
      <scheme val="minor"/>
    </font>
    <font>
      <name val="Arial"/>
      <b val="1"/>
      <color theme="1"/>
      <sz val="14"/>
    </font>
    <font>
      <name val="Arial"/>
      <color theme="1"/>
      <sz val="14"/>
    </font>
    <font>
      <name val="Arial"/>
      <color theme="1"/>
      <sz val="12"/>
    </font>
    <font>
      <name val="Arial"/>
      <b val="1"/>
      <color theme="1"/>
      <sz val="10"/>
    </font>
    <font>
      <name val="Arial"/>
      <color theme="1"/>
      <sz val="10"/>
    </font>
    <font>
      <name val="Arial"/>
      <color theme="1"/>
      <sz val="9"/>
    </font>
    <font>
      <name val="Arial"/>
      <b val="1"/>
      <color theme="1"/>
      <sz val="9"/>
    </font>
    <font>
      <name val="Arial"/>
      <color theme="1"/>
      <scheme val="minor"/>
    </font>
  </fonts>
  <fills count="14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0CECE"/>
        <bgColor rgb="FFD0CECE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</fills>
  <borders count="7">
    <border/>
    <border>
      <bottom style="thin">
        <color rgb="FF000000"/>
      </bottom>
    </border>
    <border>
      <left/>
      <right/>
      <top/>
      <bottom/>
    </border>
    <border>
      <left/>
      <right/>
      <top style="thin">
        <color rgb="FFEBEBEB"/>
      </top>
      <bottom/>
    </border>
    <border>
      <top style="thin">
        <color rgb="FFEBEBEB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1" applyAlignment="1" pivotButton="0" quotePrefix="0" xfId="0">
      <alignment vertical="center"/>
    </xf>
    <xf numFmtId="164" fontId="6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vertical="center"/>
    </xf>
    <xf numFmtId="165" fontId="6" fillId="2" borderId="2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164" fontId="6" fillId="2" borderId="3" applyAlignment="1" pivotButton="0" quotePrefix="0" xfId="0">
      <alignment horizontal="left" vertical="center"/>
    </xf>
    <xf numFmtId="0" fontId="6" fillId="2" borderId="3" applyAlignment="1" pivotButton="0" quotePrefix="0" xfId="0">
      <alignment vertical="center"/>
    </xf>
    <xf numFmtId="165" fontId="6" fillId="2" borderId="3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6" fontId="6" fillId="0" borderId="4" applyAlignment="1" pivotButton="0" quotePrefix="0" xfId="0">
      <alignment horizontal="right" vertical="center"/>
    </xf>
    <xf numFmtId="0" fontId="6" fillId="0" borderId="4" applyAlignment="1" pivotButton="0" quotePrefix="0" xfId="0">
      <alignment vertical="center"/>
    </xf>
    <xf numFmtId="164" fontId="6" fillId="0" borderId="4" applyAlignment="1" pivotButton="0" quotePrefix="0" xfId="0">
      <alignment horizontal="left" vertical="center"/>
    </xf>
    <xf numFmtId="164" fontId="6" fillId="3" borderId="3" applyAlignment="1" pivotButton="0" quotePrefix="0" xfId="0">
      <alignment horizontal="left" vertical="center"/>
    </xf>
    <xf numFmtId="0" fontId="6" fillId="3" borderId="3" applyAlignment="1" pivotButton="0" quotePrefix="0" xfId="0">
      <alignment vertical="center"/>
    </xf>
    <xf numFmtId="165" fontId="6" fillId="3" borderId="3" applyAlignment="1" pivotButton="0" quotePrefix="0" xfId="0">
      <alignment horizontal="right" vertical="center"/>
    </xf>
    <xf numFmtId="164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vertical="center"/>
    </xf>
    <xf numFmtId="165" fontId="6" fillId="4" borderId="3" applyAlignment="1" pivotButton="0" quotePrefix="0" xfId="0">
      <alignment horizontal="right" vertical="center"/>
    </xf>
    <xf numFmtId="0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horizontal="right" vertical="center"/>
    </xf>
    <xf numFmtId="164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164" fontId="6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vertical="center"/>
    </xf>
    <xf numFmtId="165" fontId="6" fillId="5" borderId="3" applyAlignment="1" pivotButton="0" quotePrefix="0" xfId="0">
      <alignment horizontal="right" vertical="center"/>
    </xf>
    <xf numFmtId="164" fontId="6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vertical="center"/>
    </xf>
    <xf numFmtId="165" fontId="6" fillId="6" borderId="3" applyAlignment="1" pivotButton="0" quotePrefix="0" xfId="0">
      <alignment horizontal="right" vertical="center"/>
    </xf>
    <xf numFmtId="164" fontId="6" fillId="7" borderId="3" applyAlignment="1" pivotButton="0" quotePrefix="0" xfId="0">
      <alignment horizontal="left" vertical="center"/>
    </xf>
    <xf numFmtId="0" fontId="6" fillId="7" borderId="3" applyAlignment="1" pivotButton="0" quotePrefix="0" xfId="0">
      <alignment vertical="center"/>
    </xf>
    <xf numFmtId="165" fontId="6" fillId="7" borderId="3" applyAlignment="1" pivotButton="0" quotePrefix="0" xfId="0">
      <alignment horizontal="right" vertical="center"/>
    </xf>
    <xf numFmtId="0" fontId="4" fillId="0" borderId="4" applyAlignment="1" pivotButton="0" quotePrefix="0" xfId="0">
      <alignment vertical="center"/>
    </xf>
    <xf numFmtId="164" fontId="6" fillId="5" borderId="5" applyAlignment="1" pivotButton="0" quotePrefix="0" xfId="0">
      <alignment horizontal="left" vertical="center"/>
    </xf>
    <xf numFmtId="0" fontId="6" fillId="5" borderId="5" applyAlignment="1" pivotButton="0" quotePrefix="0" xfId="0">
      <alignment vertical="center"/>
    </xf>
    <xf numFmtId="165" fontId="6" fillId="5" borderId="5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/>
    </xf>
    <xf numFmtId="164" fontId="6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vertical="center"/>
    </xf>
    <xf numFmtId="165" fontId="6" fillId="5" borderId="2" applyAlignment="1" pivotButton="0" quotePrefix="0" xfId="0">
      <alignment horizontal="right" vertical="center"/>
    </xf>
    <xf numFmtId="164" fontId="6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vertical="center"/>
    </xf>
    <xf numFmtId="165" fontId="6" fillId="8" borderId="3" applyAlignment="1" pivotButton="0" quotePrefix="0" xfId="0">
      <alignment horizontal="right" vertical="center"/>
    </xf>
    <xf numFmtId="0" fontId="8" fillId="0" borderId="0" pivotButton="0" quotePrefix="0" xfId="0"/>
    <xf numFmtId="164" fontId="6" fillId="0" borderId="0" applyAlignment="1" pivotButton="0" quotePrefix="0" xfId="0">
      <alignment horizontal="left" vertical="center"/>
    </xf>
    <xf numFmtId="164" fontId="6" fillId="9" borderId="3" applyAlignment="1" pivotButton="0" quotePrefix="0" xfId="0">
      <alignment horizontal="left" vertical="center"/>
    </xf>
    <xf numFmtId="0" fontId="6" fillId="9" borderId="3" applyAlignment="1" pivotButton="0" quotePrefix="0" xfId="0">
      <alignment vertical="center"/>
    </xf>
    <xf numFmtId="165" fontId="6" fillId="9" borderId="3" applyAlignment="1" pivotButton="0" quotePrefix="0" xfId="0">
      <alignment horizontal="right" vertical="center"/>
    </xf>
    <xf numFmtId="164" fontId="6" fillId="10" borderId="5" applyAlignment="1" pivotButton="0" quotePrefix="0" xfId="0">
      <alignment horizontal="left" vertical="center"/>
    </xf>
    <xf numFmtId="0" fontId="6" fillId="10" borderId="5" applyAlignment="1" pivotButton="0" quotePrefix="0" xfId="0">
      <alignment vertical="center"/>
    </xf>
    <xf numFmtId="165" fontId="6" fillId="10" borderId="5" applyAlignment="1" pivotButton="0" quotePrefix="0" xfId="0">
      <alignment horizontal="right" vertical="center"/>
    </xf>
    <xf numFmtId="164" fontId="6" fillId="10" borderId="2" applyAlignment="1" pivotButton="0" quotePrefix="0" xfId="0">
      <alignment horizontal="left" vertical="center"/>
    </xf>
    <xf numFmtId="0" fontId="6" fillId="10" borderId="2" applyAlignment="1" pivotButton="0" quotePrefix="0" xfId="0">
      <alignment vertical="center"/>
    </xf>
    <xf numFmtId="165" fontId="6" fillId="10" borderId="2" applyAlignment="1" pivotButton="0" quotePrefix="0" xfId="0">
      <alignment horizontal="right" vertical="center"/>
    </xf>
    <xf numFmtId="164" fontId="6" fillId="10" borderId="3" applyAlignment="1" pivotButton="0" quotePrefix="0" xfId="0">
      <alignment horizontal="left" vertical="center"/>
    </xf>
    <xf numFmtId="0" fontId="6" fillId="10" borderId="3" applyAlignment="1" pivotButton="0" quotePrefix="0" xfId="0">
      <alignment vertical="center"/>
    </xf>
    <xf numFmtId="165" fontId="6" fillId="10" borderId="3" applyAlignment="1" pivotButton="0" quotePrefix="0" xfId="0">
      <alignment horizontal="right" vertical="center"/>
    </xf>
    <xf numFmtId="0" fontId="6" fillId="10" borderId="3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164" fontId="6" fillId="11" borderId="3" applyAlignment="1" pivotButton="0" quotePrefix="0" xfId="0">
      <alignment horizontal="left" vertical="center"/>
    </xf>
    <xf numFmtId="0" fontId="6" fillId="11" borderId="3" applyAlignment="1" pivotButton="0" quotePrefix="0" xfId="0">
      <alignment vertical="center"/>
    </xf>
    <xf numFmtId="165" fontId="6" fillId="11" borderId="3" applyAlignment="1" pivotButton="0" quotePrefix="0" xfId="0">
      <alignment horizontal="right" vertical="center"/>
    </xf>
    <xf numFmtId="164" fontId="6" fillId="12" borderId="3" applyAlignment="1" pivotButton="0" quotePrefix="0" xfId="0">
      <alignment horizontal="left" vertical="center"/>
    </xf>
    <xf numFmtId="0" fontId="6" fillId="12" borderId="3" applyAlignment="1" pivotButton="0" quotePrefix="0" xfId="0">
      <alignment vertical="center"/>
    </xf>
    <xf numFmtId="165" fontId="6" fillId="12" borderId="3" applyAlignment="1" pivotButton="0" quotePrefix="0" xfId="0">
      <alignment horizontal="right" vertical="center"/>
    </xf>
    <xf numFmtId="0" fontId="7" fillId="2" borderId="6" applyAlignment="1" pivotButton="0" quotePrefix="0" xfId="0">
      <alignment vertical="center"/>
    </xf>
    <xf numFmtId="165" fontId="7" fillId="2" borderId="6" applyAlignment="1" pivotButton="0" quotePrefix="0" xfId="0">
      <alignment horizontal="right" vertical="center"/>
    </xf>
    <xf numFmtId="0" fontId="7" fillId="0" borderId="0" pivotButton="0" quotePrefix="0" xfId="0"/>
    <xf numFmtId="167" fontId="7" fillId="0" borderId="0" pivotButton="0" quotePrefix="0" xfId="0"/>
    <xf numFmtId="0" fontId="7" fillId="0" borderId="0" applyAlignment="1" pivotButton="0" quotePrefix="0" xfId="0">
      <alignment wrapText="1"/>
    </xf>
    <xf numFmtId="0" fontId="7" fillId="6" borderId="0" applyAlignment="1" pivotButton="0" quotePrefix="0" xfId="0">
      <alignment wrapText="1"/>
    </xf>
    <xf numFmtId="0" fontId="7" fillId="6" borderId="2" applyAlignment="1" pivotButton="0" quotePrefix="0" xfId="0">
      <alignment wrapText="1"/>
    </xf>
    <xf numFmtId="167" fontId="6" fillId="0" borderId="0" pivotButton="0" quotePrefix="0" xfId="0"/>
    <xf numFmtId="0" fontId="6" fillId="0" borderId="0" pivotButton="0" quotePrefix="0" xfId="0"/>
    <xf numFmtId="0" fontId="6" fillId="13" borderId="2" pivotButton="0" quotePrefix="0" xfId="0"/>
    <xf numFmtId="0" fontId="6" fillId="3" borderId="2" pivotButton="0" quotePrefix="0" xfId="0"/>
    <xf numFmtId="0" fontId="8" fillId="0" borderId="0" pivotButton="0" quotePrefix="0" xfId="0"/>
    <xf numFmtId="0" fontId="7" fillId="0" borderId="0" pivotButton="0" quotePrefix="0" xfId="0"/>
    <xf numFmtId="0" fontId="6" fillId="13" borderId="0" pivotButton="0" quotePrefix="0" xfId="0"/>
    <xf numFmtId="0" fontId="6" fillId="3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2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93" min="1" max="1"/>
    <col width="15.29" customWidth="1" style="93" min="2" max="2"/>
    <col width="60.57" customWidth="1" style="93" min="3" max="3"/>
    <col hidden="1" width="70" customWidth="1" style="93" min="4" max="4"/>
    <col width="11.14" customWidth="1" style="93" min="5" max="5"/>
    <col hidden="1" width="8" customWidth="1" style="93" min="6" max="6"/>
    <col hidden="1" width="19.29" customWidth="1" style="93" min="7" max="7"/>
    <col hidden="1" width="7.29" customWidth="1" style="93" min="8" max="8"/>
    <col hidden="1" width="11.71" customWidth="1" style="93" min="9" max="9"/>
    <col hidden="1" width="18.71" customWidth="1" style="93" min="10" max="10"/>
    <col width="8.710000000000001" customWidth="1" style="93" min="11" max="26"/>
  </cols>
  <sheetData>
    <row r="1" ht="16.5" customHeight="1" s="93">
      <c r="A1" s="1" t="inlineStr">
        <is>
          <t>General Ledger Detail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93">
      <c r="A2" s="3" t="inlineStr">
        <is>
          <t>Luke Hawkins Coaching Pty Ltd ATF Luke Hawkins Family Trust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4.25" customHeight="1" s="93">
      <c r="A3" s="3" t="inlineStr">
        <is>
          <t>For the period 1 July 2025 to 30 June 2026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93"/>
    <row r="5" ht="12" customHeight="1" s="93">
      <c r="A5" s="5" t="inlineStr">
        <is>
          <t>Date</t>
        </is>
      </c>
      <c r="B5" s="5" t="inlineStr">
        <is>
          <t>Source</t>
        </is>
      </c>
      <c r="C5" s="5" t="inlineStr">
        <is>
          <t>Description</t>
        </is>
      </c>
      <c r="D5" s="5" t="inlineStr">
        <is>
          <t>Reference</t>
        </is>
      </c>
      <c r="E5" s="6" t="inlineStr">
        <is>
          <t>Debit</t>
        </is>
      </c>
      <c r="F5" s="6" t="inlineStr">
        <is>
          <t>Credit</t>
        </is>
      </c>
      <c r="G5" s="6" t="inlineStr">
        <is>
          <t>Running Balance</t>
        </is>
      </c>
      <c r="H5" s="6" t="inlineStr">
        <is>
          <t>GST</t>
        </is>
      </c>
      <c r="I5" s="6" t="inlineStr">
        <is>
          <t>GST Rate</t>
        </is>
      </c>
      <c r="J5" s="5" t="inlineStr">
        <is>
          <t>GST Rate Name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2.75" customHeight="1" s="93"/>
    <row r="7" ht="12" customHeight="1" s="93">
      <c r="A7" s="8" t="inlineStr">
        <is>
          <t>Contractors - Coaches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0.5" customHeight="1" s="93">
      <c r="A8" s="9" t="n">
        <v>46121</v>
      </c>
      <c r="B8" s="10" t="inlineStr">
        <is>
          <t>Spend Money</t>
        </is>
      </c>
      <c r="C8" s="10" t="inlineStr">
        <is>
          <t>Faith is my Middle Name - Bonus for NTT Live event</t>
        </is>
      </c>
      <c r="D8" s="10" t="inlineStr">
        <is>
          <t>315</t>
        </is>
      </c>
      <c r="E8" s="11" t="n">
        <v>500</v>
      </c>
      <c r="F8" s="12" t="n">
        <v>0</v>
      </c>
      <c r="G8" s="12">
        <f>((G7 + E8) - F8)</f>
        <v/>
      </c>
      <c r="H8" s="12" t="n">
        <v>0</v>
      </c>
      <c r="I8" s="13" t="n">
        <v>0</v>
      </c>
      <c r="J8" s="14" t="inlineStr">
        <is>
          <t>GST Free Expenses</t>
        </is>
      </c>
    </row>
    <row r="9" ht="10.5" customHeight="1" s="93">
      <c r="A9" s="15" t="n">
        <v>46007</v>
      </c>
      <c r="B9" s="16" t="inlineStr">
        <is>
          <t>Spend Money</t>
        </is>
      </c>
      <c r="C9" s="16" t="inlineStr">
        <is>
          <t>Faith is my Middle Name - Christmas Bonus</t>
        </is>
      </c>
      <c r="D9" s="16" t="n"/>
      <c r="E9" s="17" t="n">
        <v>600</v>
      </c>
      <c r="F9" s="18" t="n">
        <v>0</v>
      </c>
      <c r="G9" s="18">
        <f>((G8 + E9) - F9)</f>
        <v/>
      </c>
      <c r="H9" s="18" t="n">
        <v>0</v>
      </c>
      <c r="I9" s="19" t="n">
        <v>0</v>
      </c>
      <c r="J9" s="20" t="inlineStr">
        <is>
          <t>GST Free Expenses</t>
        </is>
      </c>
    </row>
    <row r="10" ht="10.5" customHeight="1" s="93">
      <c r="A10" s="15" t="n">
        <v>46034</v>
      </c>
      <c r="B10" s="16" t="inlineStr">
        <is>
          <t>Spend Money</t>
        </is>
      </c>
      <c r="C10" s="16" t="inlineStr">
        <is>
          <t>Faith is my Middle Name - One on One Coaching fee - DEcember 2025</t>
        </is>
      </c>
      <c r="D10" s="16" t="inlineStr">
        <is>
          <t>Due Date: 9 Jan 2026</t>
        </is>
      </c>
      <c r="E10" s="17" t="n">
        <v>5932.76</v>
      </c>
      <c r="F10" s="18" t="n">
        <v>0</v>
      </c>
      <c r="G10" s="18">
        <f>((G9 + E10) - F10)</f>
        <v/>
      </c>
      <c r="H10" s="18" t="n">
        <v>0</v>
      </c>
      <c r="I10" s="19" t="n">
        <v>0</v>
      </c>
      <c r="J10" s="20" t="inlineStr">
        <is>
          <t>GST Free Expenses</t>
        </is>
      </c>
    </row>
    <row r="11" ht="10.5" customHeight="1" s="93">
      <c r="A11" s="15" t="n">
        <v>45841</v>
      </c>
      <c r="B11" s="16" t="inlineStr">
        <is>
          <t>Spend Money</t>
        </is>
      </c>
      <c r="C11" s="16" t="inlineStr">
        <is>
          <t>Faith is my Middle Name - One on One Coaching fee - June 2025</t>
        </is>
      </c>
      <c r="D11" s="16" t="inlineStr">
        <is>
          <t>0097</t>
        </is>
      </c>
      <c r="E11" s="17" t="n">
        <v>3575.16</v>
      </c>
      <c r="F11" s="18" t="n">
        <v>0</v>
      </c>
      <c r="G11" s="18">
        <f>((G10 + E11) - F11)</f>
        <v/>
      </c>
      <c r="H11" s="18" t="n">
        <v>0</v>
      </c>
      <c r="I11" s="19" t="n">
        <v>0</v>
      </c>
      <c r="J11" s="20" t="inlineStr">
        <is>
          <t>GST Free Expenses</t>
        </is>
      </c>
    </row>
    <row r="12" ht="10.5" customHeight="1" s="93">
      <c r="A12" s="15" t="n">
        <v>45931</v>
      </c>
      <c r="B12" s="16" t="inlineStr">
        <is>
          <t>Spend Money</t>
        </is>
      </c>
      <c r="C12" s="16" t="inlineStr">
        <is>
          <t>Faith is my Middle Name - One on One Coaching fee - September 2025</t>
        </is>
      </c>
      <c r="D12" s="16" t="inlineStr">
        <is>
          <t>INV-0100</t>
        </is>
      </c>
      <c r="E12" s="17" t="n">
        <v>5246.7</v>
      </c>
      <c r="F12" s="18" t="n">
        <v>0</v>
      </c>
      <c r="G12" s="18">
        <f>((G11 + E12) - F12)</f>
        <v/>
      </c>
      <c r="H12" s="18" t="n">
        <v>0</v>
      </c>
      <c r="I12" s="19" t="n">
        <v>0</v>
      </c>
      <c r="J12" s="20" t="inlineStr">
        <is>
          <t>GST Free Expenses</t>
        </is>
      </c>
    </row>
    <row r="13" ht="10.5" customHeight="1" s="93">
      <c r="A13" s="15" t="n">
        <v>45902</v>
      </c>
      <c r="B13" s="16" t="inlineStr">
        <is>
          <t>Payable Invoice</t>
        </is>
      </c>
      <c r="C13" s="16" t="inlineStr">
        <is>
          <t>Faith is my Middle Name - One on One Coaching fee for August  '25</t>
        </is>
      </c>
      <c r="D13" s="16" t="inlineStr">
        <is>
          <t>INV-0099</t>
        </is>
      </c>
      <c r="E13" s="17" t="n">
        <v>5649.96</v>
      </c>
      <c r="F13" s="18" t="n">
        <v>0</v>
      </c>
      <c r="G13" s="18">
        <f>((G12 + E13) - F13)</f>
        <v/>
      </c>
      <c r="H13" s="18" t="n">
        <v>0</v>
      </c>
      <c r="I13" s="19" t="n">
        <v>0</v>
      </c>
      <c r="J13" s="20" t="inlineStr">
        <is>
          <t>BAS Excluded</t>
        </is>
      </c>
    </row>
    <row r="14" ht="10.5" customHeight="1" s="93">
      <c r="A14" s="15" t="n">
        <v>46088</v>
      </c>
      <c r="B14" s="16" t="inlineStr">
        <is>
          <t>Payable Invoice</t>
        </is>
      </c>
      <c r="C14" s="16" t="inlineStr">
        <is>
          <t>Faith is my Middle Name - One on One Coaching fee for February 2026</t>
        </is>
      </c>
      <c r="D14" s="16" t="inlineStr">
        <is>
          <t>INV-0107</t>
        </is>
      </c>
      <c r="E14" s="17" t="n">
        <v>6884.76</v>
      </c>
      <c r="F14" s="18" t="n">
        <v>0</v>
      </c>
      <c r="G14" s="18">
        <f>((G13 + E14) - F14)</f>
        <v/>
      </c>
      <c r="H14" s="18" t="n">
        <v>0</v>
      </c>
      <c r="I14" s="19" t="n">
        <v>0</v>
      </c>
      <c r="J14" s="20" t="inlineStr">
        <is>
          <t>GST Free Expenses</t>
        </is>
      </c>
    </row>
    <row r="15" ht="10.5" customHeight="1" s="93">
      <c r="A15" s="15" t="n">
        <v>45870</v>
      </c>
      <c r="B15" s="16" t="inlineStr">
        <is>
          <t>Payable Invoice</t>
        </is>
      </c>
      <c r="C15" s="16" t="inlineStr">
        <is>
          <t>Faith is my Middle Name - One on One Coaching fee for July  '25</t>
        </is>
      </c>
      <c r="D15" s="16" t="inlineStr">
        <is>
          <t>INV-0098</t>
        </is>
      </c>
      <c r="E15" s="17" t="n">
        <v>7080.77</v>
      </c>
      <c r="F15" s="18" t="n">
        <v>0</v>
      </c>
      <c r="G15" s="18">
        <f>((G14 + E15) - F15)</f>
        <v/>
      </c>
      <c r="H15" s="18" t="n">
        <v>0</v>
      </c>
      <c r="I15" s="19" t="n">
        <v>0</v>
      </c>
      <c r="J15" s="20" t="inlineStr">
        <is>
          <t>BAS Excluded</t>
        </is>
      </c>
    </row>
    <row r="16" ht="10.5" customHeight="1" s="93">
      <c r="A16" s="15" t="n">
        <v>46115</v>
      </c>
      <c r="B16" s="16" t="inlineStr">
        <is>
          <t>Spend Money</t>
        </is>
      </c>
      <c r="C16" s="16" t="inlineStr">
        <is>
          <t>Faith is my Middle Name - One on One Coaching fee for March 2026</t>
        </is>
      </c>
      <c r="D16" s="16" t="inlineStr">
        <is>
          <t>315</t>
        </is>
      </c>
      <c r="E16" s="17" t="n">
        <v>9322.4</v>
      </c>
      <c r="F16" s="18" t="n">
        <v>0</v>
      </c>
      <c r="G16" s="18">
        <f>((G15 + E16) - F16)</f>
        <v/>
      </c>
      <c r="H16" s="18" t="n">
        <v>0</v>
      </c>
      <c r="I16" s="19" t="n">
        <v>0</v>
      </c>
      <c r="J16" s="20" t="inlineStr">
        <is>
          <t>GST Free Expenses</t>
        </is>
      </c>
    </row>
    <row r="17" ht="10.5" customHeight="1" s="93">
      <c r="A17" s="15" t="n">
        <v>45996</v>
      </c>
      <c r="B17" s="16" t="inlineStr">
        <is>
          <t>Payable Invoice</t>
        </is>
      </c>
      <c r="C17" s="16" t="inlineStr">
        <is>
          <t>Faith is my Middle Name - One on One Coaching fee for November  '25</t>
        </is>
      </c>
      <c r="D17" s="16" t="inlineStr">
        <is>
          <t>INV-0102</t>
        </is>
      </c>
      <c r="E17" s="17" t="n">
        <v>10283.56</v>
      </c>
      <c r="F17" s="18" t="n">
        <v>0</v>
      </c>
      <c r="G17" s="18">
        <f>((G16 + E17) - F17)</f>
        <v/>
      </c>
      <c r="H17" s="18" t="n">
        <v>0</v>
      </c>
      <c r="I17" s="19" t="n">
        <v>0</v>
      </c>
      <c r="J17" s="20" t="inlineStr">
        <is>
          <t>GST Free Expenses</t>
        </is>
      </c>
    </row>
    <row r="18" ht="10.5" customHeight="1" s="93">
      <c r="A18" s="15" t="n">
        <v>45965</v>
      </c>
      <c r="B18" s="16" t="inlineStr">
        <is>
          <t>Payable Invoice</t>
        </is>
      </c>
      <c r="C18" s="16" t="inlineStr">
        <is>
          <t>Faith is my Middle Name - One on One Coaching fee for October  '25</t>
        </is>
      </c>
      <c r="D18" s="16" t="inlineStr">
        <is>
          <t>INV-0101</t>
        </is>
      </c>
      <c r="E18" s="17" t="n">
        <v>8473.629999999999</v>
      </c>
      <c r="F18" s="18" t="n">
        <v>0</v>
      </c>
      <c r="G18" s="18">
        <f>((G17 + E18) - F18)</f>
        <v/>
      </c>
      <c r="H18" s="18" t="n">
        <v>0</v>
      </c>
      <c r="I18" s="19" t="n">
        <v>0</v>
      </c>
      <c r="J18" s="20" t="inlineStr">
        <is>
          <t>GST Free Expenses</t>
        </is>
      </c>
    </row>
    <row r="19" ht="10.5" customHeight="1" s="93">
      <c r="A19" s="15" t="n">
        <v>46059</v>
      </c>
      <c r="B19" s="16" t="inlineStr">
        <is>
          <t>Spend Money</t>
        </is>
      </c>
      <c r="C19" s="16" t="inlineStr">
        <is>
          <t>Faith is my Middle Name - One on One Coaching fee for the month of January 2026</t>
        </is>
      </c>
      <c r="D19" s="16" t="inlineStr">
        <is>
          <t>INV-0106</t>
        </is>
      </c>
      <c r="E19" s="17" t="n">
        <v>8460.719999999999</v>
      </c>
      <c r="F19" s="18" t="n">
        <v>0</v>
      </c>
      <c r="G19" s="18">
        <f>((G18 + E19) - F19)</f>
        <v/>
      </c>
      <c r="H19" s="18" t="n">
        <v>0</v>
      </c>
      <c r="I19" s="19" t="n">
        <v>0</v>
      </c>
      <c r="J19" s="20" t="inlineStr">
        <is>
          <t>GST Free Expenses</t>
        </is>
      </c>
    </row>
    <row r="20" ht="10.5" customHeight="1" s="93">
      <c r="A20" s="21" t="n">
        <v>46154</v>
      </c>
      <c r="B20" s="20" t="inlineStr">
        <is>
          <t>Spend Money</t>
        </is>
      </c>
      <c r="C20" s="20" t="inlineStr">
        <is>
          <t>No Title Productions Pty Ltd - In house coaching</t>
        </is>
      </c>
      <c r="D20" s="20" t="inlineStr">
        <is>
          <t>INV-LH0006</t>
        </is>
      </c>
      <c r="E20" s="18" t="n">
        <v>901.7</v>
      </c>
      <c r="F20" s="18" t="n">
        <v>0</v>
      </c>
      <c r="G20" s="18">
        <f>((G19 + E20) - F20)</f>
        <v/>
      </c>
      <c r="H20" s="18" t="n">
        <v>90.17</v>
      </c>
      <c r="I20" s="19" t="n">
        <v>10</v>
      </c>
      <c r="J20" s="20" t="inlineStr">
        <is>
          <t>GST on Expenses</t>
        </is>
      </c>
    </row>
    <row r="21" ht="10.5" customHeight="1" s="93">
      <c r="A21" s="22" t="n">
        <v>46129</v>
      </c>
      <c r="B21" s="23" t="inlineStr">
        <is>
          <t>Spend Money</t>
        </is>
      </c>
      <c r="C21" s="23" t="inlineStr">
        <is>
          <t>Sheree Murray - for the month of March 2026</t>
        </is>
      </c>
      <c r="D21" s="23" t="n"/>
      <c r="E21" s="24" t="n">
        <v>60</v>
      </c>
      <c r="F21" s="18" t="n">
        <v>0</v>
      </c>
      <c r="G21" s="18">
        <f>((G20 + E21) - F21)</f>
        <v/>
      </c>
      <c r="H21" s="18" t="n">
        <v>0</v>
      </c>
      <c r="I21" s="19" t="n">
        <v>0</v>
      </c>
      <c r="J21" s="20" t="inlineStr">
        <is>
          <t>GST Free Expenses</t>
        </is>
      </c>
    </row>
    <row r="22" ht="10.5" customHeight="1" s="93">
      <c r="A22" s="25" t="n">
        <v>45839</v>
      </c>
      <c r="B22" s="26" t="inlineStr">
        <is>
          <t>Spend Money</t>
        </is>
      </c>
      <c r="C22" s="26" t="inlineStr">
        <is>
          <t>Ty Brazel - One on One Coaching</t>
        </is>
      </c>
      <c r="D22" s="26" t="inlineStr">
        <is>
          <t>315</t>
        </is>
      </c>
      <c r="E22" s="27" t="n">
        <v>3090</v>
      </c>
      <c r="F22" s="18" t="n">
        <v>0</v>
      </c>
      <c r="G22" s="18">
        <f>(E22 - F22)</f>
        <v/>
      </c>
      <c r="H22" s="18" t="n">
        <v>0</v>
      </c>
      <c r="I22" s="19" t="n">
        <v>0</v>
      </c>
      <c r="J22" s="20" t="inlineStr">
        <is>
          <t>BAS Excluded</t>
        </is>
      </c>
    </row>
    <row r="23" ht="10.5" customHeight="1" s="93">
      <c r="A23" s="28" t="inlineStr">
        <is>
          <t>Total Contractors - Coaches</t>
        </is>
      </c>
      <c r="B23" s="28" t="n"/>
      <c r="C23" s="28" t="n"/>
      <c r="D23" s="28" t="n"/>
      <c r="E23" s="29">
        <f>SUM(E8:E22)</f>
        <v/>
      </c>
      <c r="F23" s="29">
        <f>SUM(F8:F22)</f>
        <v/>
      </c>
      <c r="G23" s="29">
        <f>G22</f>
        <v/>
      </c>
      <c r="H23" s="29">
        <f>SUM(H8:H22)</f>
        <v/>
      </c>
      <c r="I23" s="28" t="n"/>
      <c r="J23" s="28" t="n"/>
    </row>
    <row r="24" ht="10.5" customHeight="1" s="93">
      <c r="A24" s="28" t="inlineStr">
        <is>
          <t>Net movement</t>
        </is>
      </c>
      <c r="B24" s="28" t="n"/>
      <c r="C24" s="28" t="n"/>
      <c r="D24" s="28" t="n"/>
      <c r="E24" s="29" t="n">
        <v>76062.12</v>
      </c>
      <c r="F24" s="29" t="n">
        <v>0</v>
      </c>
      <c r="G24" s="29" t="n">
        <v>0</v>
      </c>
      <c r="H24" s="29" t="n">
        <v>0</v>
      </c>
      <c r="I24" s="28" t="n"/>
      <c r="J24" s="28" t="n"/>
    </row>
    <row r="25" ht="12.75" customHeight="1" s="93"/>
    <row r="26" ht="12" customHeight="1" s="93">
      <c r="A26" s="8" t="inlineStr">
        <is>
          <t>Contractors - Content Creation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0.5" customHeight="1" s="93">
      <c r="A27" s="30" t="n">
        <v>46007</v>
      </c>
      <c r="B27" s="31" t="inlineStr">
        <is>
          <t>Spend Money</t>
        </is>
      </c>
      <c r="C27" s="31" t="inlineStr">
        <is>
          <t>Ace Sevilla - Christmas Bonus</t>
        </is>
      </c>
      <c r="D27" s="31" t="inlineStr">
        <is>
          <t>315</t>
        </is>
      </c>
      <c r="E27" s="32" t="n">
        <v>150</v>
      </c>
      <c r="F27" s="12" t="n">
        <v>0</v>
      </c>
      <c r="G27" s="12">
        <f>((G26 + E27) - F27)</f>
        <v/>
      </c>
      <c r="H27" s="12" t="n">
        <v>0</v>
      </c>
      <c r="I27" s="13" t="n">
        <v>0</v>
      </c>
      <c r="J27" s="14" t="inlineStr">
        <is>
          <t>GST Free Expenses</t>
        </is>
      </c>
    </row>
    <row r="28" ht="10.5" customHeight="1" s="93">
      <c r="A28" s="22" t="n">
        <v>46083</v>
      </c>
      <c r="B28" s="23" t="inlineStr">
        <is>
          <t>Spend Money</t>
        </is>
      </c>
      <c r="C28" s="23" t="inlineStr">
        <is>
          <t>Ace Sevilla - Contractor's Fee (video editor)</t>
        </is>
      </c>
      <c r="D28" s="23" t="inlineStr">
        <is>
          <t>315</t>
        </is>
      </c>
      <c r="E28" s="24" t="n">
        <v>922.22</v>
      </c>
      <c r="F28" s="18" t="n">
        <v>0</v>
      </c>
      <c r="G28" s="18">
        <f>((G27 + E28) - F28)</f>
        <v/>
      </c>
      <c r="H28" s="18" t="n">
        <v>0</v>
      </c>
      <c r="I28" s="19" t="n">
        <v>0</v>
      </c>
      <c r="J28" s="20" t="inlineStr">
        <is>
          <t>GST Free Expenses</t>
        </is>
      </c>
    </row>
    <row r="29" ht="10.5" customHeight="1" s="93">
      <c r="A29" s="22" t="n">
        <v>46112</v>
      </c>
      <c r="B29" s="23" t="inlineStr">
        <is>
          <t>Spend Money</t>
        </is>
      </c>
      <c r="C29" s="23" t="inlineStr">
        <is>
          <t>Ace Sevilla - Contractor's Fee (video editor)  - March 2026</t>
        </is>
      </c>
      <c r="D29" s="23" t="inlineStr">
        <is>
          <t>315</t>
        </is>
      </c>
      <c r="E29" s="24" t="n">
        <v>1021.94</v>
      </c>
      <c r="F29" s="18" t="n">
        <v>0</v>
      </c>
      <c r="G29" s="18">
        <f>((G28 + E29) - F29)</f>
        <v/>
      </c>
      <c r="H29" s="18" t="n">
        <v>0</v>
      </c>
      <c r="I29" s="19" t="n">
        <v>0</v>
      </c>
      <c r="J29" s="20" t="inlineStr">
        <is>
          <t>GST Free Expenses</t>
        </is>
      </c>
    </row>
    <row r="30" ht="10.5" customHeight="1" s="93">
      <c r="A30" s="22" t="n">
        <v>46143</v>
      </c>
      <c r="B30" s="23" t="inlineStr">
        <is>
          <t>Payable Invoice</t>
        </is>
      </c>
      <c r="C30" s="23" t="inlineStr">
        <is>
          <t>Ace Sevilla - Contractor's Fee (video editor) for April 2026</t>
        </is>
      </c>
      <c r="D30" s="23" t="inlineStr">
        <is>
          <t>inv 30</t>
        </is>
      </c>
      <c r="E30" s="24" t="n">
        <v>913.76</v>
      </c>
      <c r="F30" s="18" t="n">
        <v>0</v>
      </c>
      <c r="G30" s="18">
        <f>((G29 + E30) - F30)</f>
        <v/>
      </c>
      <c r="H30" s="18" t="n">
        <v>0</v>
      </c>
      <c r="I30" s="19" t="n">
        <v>0</v>
      </c>
      <c r="J30" s="20" t="inlineStr">
        <is>
          <t>GST Free Expenses</t>
        </is>
      </c>
    </row>
    <row r="31" ht="10.5" customHeight="1" s="93">
      <c r="A31" s="22" t="n">
        <v>45901</v>
      </c>
      <c r="B31" s="23" t="inlineStr">
        <is>
          <t>Payable Invoice</t>
        </is>
      </c>
      <c r="C31" s="23" t="inlineStr">
        <is>
          <t>Ace Sevilla - Contractor's Fee (video editor) for August 2025</t>
        </is>
      </c>
      <c r="D31" s="23" t="inlineStr">
        <is>
          <t>inv 24</t>
        </is>
      </c>
      <c r="E31" s="24" t="n">
        <v>930.42</v>
      </c>
      <c r="F31" s="18" t="n">
        <v>0</v>
      </c>
      <c r="G31" s="18">
        <f>((G30 + E31) - F31)</f>
        <v/>
      </c>
      <c r="H31" s="18" t="n">
        <v>0</v>
      </c>
      <c r="I31" s="19" t="n">
        <v>0</v>
      </c>
      <c r="J31" s="20" t="inlineStr">
        <is>
          <t>GST Free Expenses</t>
        </is>
      </c>
    </row>
    <row r="32" ht="10.5" customHeight="1" s="93">
      <c r="A32" s="22" t="n">
        <v>46024</v>
      </c>
      <c r="B32" s="23" t="inlineStr">
        <is>
          <t>Payable Invoice</t>
        </is>
      </c>
      <c r="C32" s="23" t="inlineStr">
        <is>
          <t>Ace Sevilla - Contractor's Fee (video editor) for December 2025</t>
        </is>
      </c>
      <c r="D32" s="23" t="inlineStr">
        <is>
          <t>inv 29</t>
        </is>
      </c>
      <c r="E32" s="24" t="n">
        <v>1003.55</v>
      </c>
      <c r="F32" s="18" t="n">
        <v>0</v>
      </c>
      <c r="G32" s="18">
        <f>((G31 + E32) - F32)</f>
        <v/>
      </c>
      <c r="H32" s="18" t="n">
        <v>0</v>
      </c>
      <c r="I32" s="19" t="n">
        <v>0</v>
      </c>
      <c r="J32" s="20" t="inlineStr">
        <is>
          <t>GST Free Expenses</t>
        </is>
      </c>
    </row>
    <row r="33" ht="10.5" customHeight="1" s="93">
      <c r="A33" s="22" t="n">
        <v>46055</v>
      </c>
      <c r="B33" s="23" t="inlineStr">
        <is>
          <t>Spend Money</t>
        </is>
      </c>
      <c r="C33" s="23" t="inlineStr">
        <is>
          <t>Ace Sevilla - Contractor's Fee (video editor) for January 2026</t>
        </is>
      </c>
      <c r="D33" s="23" t="inlineStr">
        <is>
          <t>315</t>
        </is>
      </c>
      <c r="E33" s="24" t="n">
        <v>1003.55</v>
      </c>
      <c r="F33" s="18" t="n">
        <v>0</v>
      </c>
      <c r="G33" s="18">
        <f>((G32 + E33) - F33)</f>
        <v/>
      </c>
      <c r="H33" s="18" t="n">
        <v>0</v>
      </c>
      <c r="I33" s="19" t="n">
        <v>0</v>
      </c>
      <c r="J33" s="20" t="inlineStr">
        <is>
          <t>GST Free Expenses</t>
        </is>
      </c>
    </row>
    <row r="34" ht="10.5" customHeight="1" s="93">
      <c r="A34" s="22" t="n">
        <v>45839</v>
      </c>
      <c r="B34" s="23" t="inlineStr">
        <is>
          <t>Payable Invoice</t>
        </is>
      </c>
      <c r="C34" s="23" t="inlineStr">
        <is>
          <t>Ace Sevilla - Contractor's Fee (video editor) for June 2025</t>
        </is>
      </c>
      <c r="D34" s="23" t="inlineStr">
        <is>
          <t>inv 22</t>
        </is>
      </c>
      <c r="E34" s="24" t="n">
        <v>892.04</v>
      </c>
      <c r="F34" s="18" t="n">
        <v>0</v>
      </c>
      <c r="G34" s="18">
        <f>(E34 - F34)</f>
        <v/>
      </c>
      <c r="H34" s="18" t="n">
        <v>0</v>
      </c>
      <c r="I34" s="19" t="n">
        <v>0</v>
      </c>
      <c r="J34" s="20" t="inlineStr">
        <is>
          <t>GST Free Expenses</t>
        </is>
      </c>
    </row>
    <row r="35" ht="10.5" customHeight="1" s="93">
      <c r="A35" s="22" t="n">
        <v>45992</v>
      </c>
      <c r="B35" s="23" t="inlineStr">
        <is>
          <t>Payable Invoice</t>
        </is>
      </c>
      <c r="C35" s="23" t="inlineStr">
        <is>
          <t>Ace Sevilla - Contractor's Fee (video editor) for November 2025</t>
        </is>
      </c>
      <c r="D35" s="23" t="inlineStr">
        <is>
          <t>inv 27</t>
        </is>
      </c>
      <c r="E35" s="24" t="n">
        <v>1097.58</v>
      </c>
      <c r="F35" s="18" t="n">
        <v>0</v>
      </c>
      <c r="G35" s="18">
        <f>((G34 + E35) - F35)</f>
        <v/>
      </c>
      <c r="H35" s="18" t="n">
        <v>0</v>
      </c>
      <c r="I35" s="19" t="n">
        <v>0</v>
      </c>
      <c r="J35" s="20" t="inlineStr">
        <is>
          <t>GST Free Expenses</t>
        </is>
      </c>
    </row>
    <row r="36" ht="10.5" customHeight="1" s="93">
      <c r="A36" s="22" t="n">
        <v>45960</v>
      </c>
      <c r="B36" s="23" t="inlineStr">
        <is>
          <t>Payable Invoice</t>
        </is>
      </c>
      <c r="C36" s="23" t="inlineStr">
        <is>
          <t>Ace Sevilla - Contractor's Fee (video editor) for October 2025</t>
        </is>
      </c>
      <c r="D36" s="23" t="inlineStr">
        <is>
          <t>inv 26</t>
        </is>
      </c>
      <c r="E36" s="24" t="n">
        <v>618.08</v>
      </c>
      <c r="F36" s="18" t="n">
        <v>0</v>
      </c>
      <c r="G36" s="18">
        <f>((G35 + E36) - F36)</f>
        <v/>
      </c>
      <c r="H36" s="18" t="n">
        <v>0</v>
      </c>
      <c r="I36" s="19" t="n">
        <v>0</v>
      </c>
      <c r="J36" s="20" t="inlineStr">
        <is>
          <t>GST Free Expenses</t>
        </is>
      </c>
    </row>
    <row r="37" ht="10.5" customHeight="1" s="93">
      <c r="A37" s="22" t="n">
        <v>45931</v>
      </c>
      <c r="B37" s="23" t="inlineStr">
        <is>
          <t>Payable Invoice</t>
        </is>
      </c>
      <c r="C37" s="23" t="inlineStr">
        <is>
          <t>Ace Sevilla - Contractor's Fee (video editor) for September 2025</t>
        </is>
      </c>
      <c r="D37" s="23" t="inlineStr">
        <is>
          <t>inv 25</t>
        </is>
      </c>
      <c r="E37" s="24" t="n">
        <v>1097.58</v>
      </c>
      <c r="F37" s="18" t="n">
        <v>0</v>
      </c>
      <c r="G37" s="18">
        <f>((G36 + E37) - F37)</f>
        <v/>
      </c>
      <c r="H37" s="18" t="n">
        <v>0</v>
      </c>
      <c r="I37" s="19" t="n">
        <v>0</v>
      </c>
      <c r="J37" s="20" t="inlineStr">
        <is>
          <t>GST Free Expenses</t>
        </is>
      </c>
    </row>
    <row r="38" ht="10.5" customHeight="1" s="93">
      <c r="A38" s="33" t="n">
        <v>45846</v>
      </c>
      <c r="B38" s="34" t="inlineStr">
        <is>
          <t>Spend Money</t>
        </is>
      </c>
      <c r="C38" s="34" t="inlineStr">
        <is>
          <t xml:space="preserve">Bikash Pandey - Video Editing Service fee </t>
        </is>
      </c>
      <c r="D38" s="34" t="inlineStr">
        <is>
          <t>315</t>
        </is>
      </c>
      <c r="E38" s="35" t="n">
        <v>1011.52</v>
      </c>
      <c r="F38" s="18" t="n">
        <v>0</v>
      </c>
      <c r="G38" s="18">
        <f>((G37 + E38) - F38)</f>
        <v/>
      </c>
      <c r="H38" s="18" t="n">
        <v>0</v>
      </c>
      <c r="I38" s="19" t="n">
        <v>0</v>
      </c>
      <c r="J38" s="20" t="inlineStr">
        <is>
          <t>GST Free Expenses</t>
        </is>
      </c>
    </row>
    <row r="39" ht="10.5" customHeight="1" s="93">
      <c r="A39" s="33" t="n">
        <v>45968</v>
      </c>
      <c r="B39" s="34" t="inlineStr">
        <is>
          <t>Spend Money</t>
        </is>
      </c>
      <c r="C39" s="34" t="inlineStr">
        <is>
          <t xml:space="preserve">Bikash Pandey - Video Editing Service fee </t>
        </is>
      </c>
      <c r="D39" s="34" t="inlineStr">
        <is>
          <t>315</t>
        </is>
      </c>
      <c r="E39" s="35" t="n">
        <v>148.23</v>
      </c>
      <c r="F39" s="18" t="n">
        <v>0</v>
      </c>
      <c r="G39" s="18">
        <f>((G38 + E39) - F39)</f>
        <v/>
      </c>
      <c r="H39" s="18" t="n">
        <v>0</v>
      </c>
      <c r="I39" s="19" t="n">
        <v>0</v>
      </c>
      <c r="J39" s="20" t="inlineStr">
        <is>
          <t>GST Free Expenses</t>
        </is>
      </c>
    </row>
    <row r="40" ht="10.5" customHeight="1" s="93">
      <c r="A40" s="33" t="n">
        <v>45874</v>
      </c>
      <c r="B40" s="34" t="inlineStr">
        <is>
          <t>Spend Money</t>
        </is>
      </c>
      <c r="C40" s="34" t="inlineStr">
        <is>
          <t xml:space="preserve">Bikash Pandey - Video Editing Service fee  </t>
        </is>
      </c>
      <c r="D40" s="34" t="inlineStr">
        <is>
          <t>315</t>
        </is>
      </c>
      <c r="E40" s="35" t="n">
        <v>124.28</v>
      </c>
      <c r="F40" s="18" t="n">
        <v>0</v>
      </c>
      <c r="G40" s="18">
        <f>((G39 + E40) - F40)</f>
        <v/>
      </c>
      <c r="H40" s="18" t="n">
        <v>0</v>
      </c>
      <c r="I40" s="19" t="n">
        <v>0</v>
      </c>
      <c r="J40" s="20" t="inlineStr">
        <is>
          <t>GST Free Expenses</t>
        </is>
      </c>
    </row>
    <row r="41" ht="10.5" customHeight="1" s="93">
      <c r="A41" s="33" t="n">
        <v>45901</v>
      </c>
      <c r="B41" s="34" t="inlineStr">
        <is>
          <t>Payable Invoice</t>
        </is>
      </c>
      <c r="C41" s="34" t="inlineStr">
        <is>
          <t>Bikash Pandey - Video Editing Service fee for  August 2025</t>
        </is>
      </c>
      <c r="D41" s="34" t="inlineStr">
        <is>
          <t>inv023</t>
        </is>
      </c>
      <c r="E41" s="35" t="n">
        <v>642.21</v>
      </c>
      <c r="F41" s="18" t="n">
        <v>0</v>
      </c>
      <c r="G41" s="18">
        <f>((G40 + E41) - F41)</f>
        <v/>
      </c>
      <c r="H41" s="18" t="n">
        <v>0</v>
      </c>
      <c r="I41" s="19" t="n">
        <v>0</v>
      </c>
      <c r="J41" s="20" t="inlineStr">
        <is>
          <t>GST Free Expenses</t>
        </is>
      </c>
    </row>
    <row r="42" ht="10.5" customHeight="1" s="93">
      <c r="A42" s="36" t="n">
        <v>46007</v>
      </c>
      <c r="B42" s="37" t="inlineStr">
        <is>
          <t>Spend Money</t>
        </is>
      </c>
      <c r="C42" s="37" t="inlineStr">
        <is>
          <t>Brock Morgan - Christmas bonus</t>
        </is>
      </c>
      <c r="D42" s="37" t="n"/>
      <c r="E42" s="38" t="n">
        <v>300</v>
      </c>
      <c r="F42" s="18" t="n">
        <v>0</v>
      </c>
      <c r="G42" s="18">
        <f>((G41 + E42) - F42)</f>
        <v/>
      </c>
      <c r="H42" s="18" t="n">
        <v>0</v>
      </c>
      <c r="I42" s="19" t="n">
        <v>0</v>
      </c>
      <c r="J42" s="20" t="inlineStr">
        <is>
          <t>GST Free Expenses</t>
        </is>
      </c>
    </row>
    <row r="43" ht="10.5" customHeight="1" s="93">
      <c r="A43" s="22" t="n">
        <v>46007</v>
      </c>
      <c r="B43" s="23" t="inlineStr">
        <is>
          <t>Spend Money</t>
        </is>
      </c>
      <c r="C43" s="23" t="inlineStr">
        <is>
          <t>Mamit Chaudhary - Christmas Bonus</t>
        </is>
      </c>
      <c r="D43" s="23" t="n"/>
      <c r="E43" s="24" t="n">
        <v>50</v>
      </c>
      <c r="F43" s="18" t="n">
        <v>0</v>
      </c>
      <c r="G43" s="18">
        <f>((G42 + E43) - F43)</f>
        <v/>
      </c>
      <c r="H43" s="18" t="n">
        <v>0</v>
      </c>
      <c r="I43" s="19" t="n">
        <v>0</v>
      </c>
      <c r="J43" s="20" t="inlineStr">
        <is>
          <t>BAS Excluded</t>
        </is>
      </c>
    </row>
    <row r="44" ht="10.5" customHeight="1" s="93">
      <c r="A44" s="36" t="n">
        <v>46143</v>
      </c>
      <c r="B44" s="37" t="inlineStr">
        <is>
          <t>Payable Invoice</t>
        </is>
      </c>
      <c r="C44" s="37" t="inlineStr">
        <is>
          <t>Mamit Chaudhary - Video Editing Service fee for April 2026</t>
        </is>
      </c>
      <c r="D44" s="37" t="inlineStr">
        <is>
          <t>inv07</t>
        </is>
      </c>
      <c r="E44" s="38" t="n">
        <v>681.1</v>
      </c>
      <c r="F44" s="18" t="n">
        <v>0</v>
      </c>
      <c r="G44" s="18">
        <f>((G43 + E44) - F44)</f>
        <v/>
      </c>
      <c r="H44" s="18" t="n">
        <v>0</v>
      </c>
      <c r="I44" s="19" t="n">
        <v>0</v>
      </c>
      <c r="J44" s="20" t="inlineStr">
        <is>
          <t>GST Free Expenses</t>
        </is>
      </c>
    </row>
    <row r="45" ht="10.5" customHeight="1" s="93">
      <c r="A45" s="36" t="n">
        <v>46024</v>
      </c>
      <c r="B45" s="37" t="inlineStr">
        <is>
          <t>Payable Invoice</t>
        </is>
      </c>
      <c r="C45" s="37" t="inlineStr">
        <is>
          <t>Mamit Chaudhary - Video Editing Service fee for December 2025</t>
        </is>
      </c>
      <c r="D45" s="37" t="inlineStr">
        <is>
          <t>inv03</t>
        </is>
      </c>
      <c r="E45" s="38" t="n">
        <v>1320.82</v>
      </c>
      <c r="F45" s="18" t="n">
        <v>0</v>
      </c>
      <c r="G45" s="18">
        <f>((G44 + E45) - F45)</f>
        <v/>
      </c>
      <c r="H45" s="18" t="n">
        <v>0</v>
      </c>
      <c r="I45" s="19" t="n">
        <v>0</v>
      </c>
      <c r="J45" s="20" t="inlineStr">
        <is>
          <t>GST Free Expenses</t>
        </is>
      </c>
    </row>
    <row r="46" ht="10.5" customHeight="1" s="93">
      <c r="A46" s="36" t="n">
        <v>46083</v>
      </c>
      <c r="B46" s="37" t="inlineStr">
        <is>
          <t>Payable Invoice</t>
        </is>
      </c>
      <c r="C46" s="37" t="inlineStr">
        <is>
          <t>Mamit Chaudhary - Video Editing Service fee for February 2026</t>
        </is>
      </c>
      <c r="D46" s="37" t="inlineStr">
        <is>
          <t>inv05</t>
        </is>
      </c>
      <c r="E46" s="38" t="n">
        <v>789.6</v>
      </c>
      <c r="F46" s="18" t="n">
        <v>0</v>
      </c>
      <c r="G46" s="18">
        <f>((G45 + E46) - F46)</f>
        <v/>
      </c>
      <c r="H46" s="18" t="n">
        <v>0</v>
      </c>
      <c r="I46" s="19" t="n">
        <v>0</v>
      </c>
      <c r="J46" s="20" t="inlineStr">
        <is>
          <t>GST Free Expenses</t>
        </is>
      </c>
    </row>
    <row r="47" ht="10.5" customHeight="1" s="93">
      <c r="A47" s="36" t="n">
        <v>46054</v>
      </c>
      <c r="B47" s="37" t="inlineStr">
        <is>
          <t>Payable Invoice</t>
        </is>
      </c>
      <c r="C47" s="37" t="inlineStr">
        <is>
          <t>Mamit Chaudhary - Video Editing Service fee for January 2026</t>
        </is>
      </c>
      <c r="D47" s="37" t="inlineStr">
        <is>
          <t>inv04</t>
        </is>
      </c>
      <c r="E47" s="38" t="n">
        <v>1087.2</v>
      </c>
      <c r="F47" s="18" t="n">
        <v>0</v>
      </c>
      <c r="G47" s="18">
        <f>((G46 + E47) - F47)</f>
        <v/>
      </c>
      <c r="H47" s="18" t="n">
        <v>0</v>
      </c>
      <c r="I47" s="19" t="n">
        <v>0</v>
      </c>
      <c r="J47" s="20" t="inlineStr">
        <is>
          <t>GST Free Expenses</t>
        </is>
      </c>
    </row>
    <row r="48" ht="10.5" customHeight="1" s="93">
      <c r="A48" s="36" t="n">
        <v>46113</v>
      </c>
      <c r="B48" s="37" t="inlineStr">
        <is>
          <t>Payable Invoice</t>
        </is>
      </c>
      <c r="C48" s="37" t="inlineStr">
        <is>
          <t>Mamit Chaudhary - Video Editing Service fee for March 2026</t>
        </is>
      </c>
      <c r="D48" s="37" t="inlineStr">
        <is>
          <t>inv06</t>
        </is>
      </c>
      <c r="E48" s="38" t="n">
        <v>1354.97</v>
      </c>
      <c r="F48" s="18" t="n">
        <v>0</v>
      </c>
      <c r="G48" s="18">
        <f>((G47 + E48) - F48)</f>
        <v/>
      </c>
      <c r="H48" s="18" t="n">
        <v>0</v>
      </c>
      <c r="I48" s="19" t="n">
        <v>0</v>
      </c>
      <c r="J48" s="20" t="inlineStr">
        <is>
          <t>GST Free Expenses</t>
        </is>
      </c>
    </row>
    <row r="49" ht="10.5" customHeight="1" s="93">
      <c r="A49" s="36" t="n">
        <v>45992</v>
      </c>
      <c r="B49" s="37" t="inlineStr">
        <is>
          <t>Payable Invoice</t>
        </is>
      </c>
      <c r="C49" s="37" t="inlineStr">
        <is>
          <t>Mamit Chaudhary - Video Editing Service fee for November 2025</t>
        </is>
      </c>
      <c r="D49" s="37" t="inlineStr">
        <is>
          <t>inv02</t>
        </is>
      </c>
      <c r="E49" s="38" t="n">
        <v>1148.02</v>
      </c>
      <c r="F49" s="18" t="n">
        <v>0</v>
      </c>
      <c r="G49" s="18">
        <f>((G48 + E49) - F49)</f>
        <v/>
      </c>
      <c r="H49" s="18" t="n">
        <v>0</v>
      </c>
      <c r="I49" s="19" t="n">
        <v>0</v>
      </c>
      <c r="J49" s="20" t="inlineStr">
        <is>
          <t>GST Free Expenses</t>
        </is>
      </c>
    </row>
    <row r="50" ht="10.5" customHeight="1" s="93">
      <c r="A50" s="36" t="n">
        <v>45964</v>
      </c>
      <c r="B50" s="37" t="inlineStr">
        <is>
          <t>Payable Invoice</t>
        </is>
      </c>
      <c r="C50" s="37" t="inlineStr">
        <is>
          <t>Mamit Chaudhary - Video Editing Service fee for October 2025</t>
        </is>
      </c>
      <c r="D50" s="37" t="inlineStr">
        <is>
          <t>inv01</t>
        </is>
      </c>
      <c r="E50" s="38" t="n">
        <v>665.4</v>
      </c>
      <c r="F50" s="18" t="n">
        <v>0</v>
      </c>
      <c r="G50" s="18">
        <f>((G49 + E50) - F50)</f>
        <v/>
      </c>
      <c r="H50" s="18" t="n">
        <v>0</v>
      </c>
      <c r="I50" s="19" t="n">
        <v>0</v>
      </c>
      <c r="J50" s="20" t="inlineStr">
        <is>
          <t>GST Free Expenses</t>
        </is>
      </c>
    </row>
    <row r="51" ht="10.5" customHeight="1" s="93">
      <c r="A51" s="25" t="n">
        <v>46007</v>
      </c>
      <c r="B51" s="26" t="inlineStr">
        <is>
          <t>Spend Money</t>
        </is>
      </c>
      <c r="C51" s="26" t="inlineStr">
        <is>
          <t>THAPA ANASHRUT - Christmas Bonus</t>
        </is>
      </c>
      <c r="D51" s="26" t="inlineStr">
        <is>
          <t>315</t>
        </is>
      </c>
      <c r="E51" s="27" t="n">
        <v>250</v>
      </c>
      <c r="F51" s="18" t="n">
        <v>0</v>
      </c>
      <c r="G51" s="18">
        <f>((G50 + E51) - F51)</f>
        <v/>
      </c>
      <c r="H51" s="18" t="n">
        <v>0</v>
      </c>
      <c r="I51" s="19" t="n">
        <v>0</v>
      </c>
      <c r="J51" s="20" t="inlineStr">
        <is>
          <t>GST Free Expenses</t>
        </is>
      </c>
    </row>
    <row r="52" ht="10.5" customHeight="1" s="93">
      <c r="A52" s="25" t="n">
        <v>46103</v>
      </c>
      <c r="B52" s="26" t="inlineStr">
        <is>
          <t>Spend Money</t>
        </is>
      </c>
      <c r="C52" s="26" t="inlineStr">
        <is>
          <t>THAPA ANASHRUT - Video creation and editing fee</t>
        </is>
      </c>
      <c r="D52" s="26" t="inlineStr">
        <is>
          <t>ch_3TDtzeEjTdT89IXK19FS44jc | pi_3TDtzeEjTdT89IXK1M32fcUJ</t>
        </is>
      </c>
      <c r="E52" s="27" t="n">
        <v>0.46</v>
      </c>
      <c r="F52" s="18" t="n">
        <v>0</v>
      </c>
      <c r="G52" s="18">
        <f>((G51 + E52) - F52)</f>
        <v/>
      </c>
      <c r="H52" s="18" t="n">
        <v>0</v>
      </c>
      <c r="I52" s="19" t="n">
        <v>0</v>
      </c>
      <c r="J52" s="20" t="inlineStr">
        <is>
          <t>GST Free Expenses</t>
        </is>
      </c>
    </row>
    <row r="53" ht="10.5" customHeight="1" s="93">
      <c r="A53" s="25" t="n">
        <v>46116</v>
      </c>
      <c r="B53" s="26" t="inlineStr">
        <is>
          <t>Spend Money</t>
        </is>
      </c>
      <c r="C53" s="26" t="inlineStr">
        <is>
          <t>THAPA ANASHRUT - Video creation and editing fee</t>
        </is>
      </c>
      <c r="D53" s="26" t="inlineStr">
        <is>
          <t>ch_3TIRzEEjTdT89IXK1EAQaD5c | pi_3TIRzEEjTdT89IXK1XJilw4b</t>
        </is>
      </c>
      <c r="E53" s="27" t="n">
        <v>0.55</v>
      </c>
      <c r="F53" s="18" t="n">
        <v>0</v>
      </c>
      <c r="G53" s="18">
        <f>((G52 + E53) - F53)</f>
        <v/>
      </c>
      <c r="H53" s="18" t="n">
        <v>0</v>
      </c>
      <c r="I53" s="19" t="n">
        <v>0</v>
      </c>
      <c r="J53" s="20" t="inlineStr">
        <is>
          <t>GST Free Expenses</t>
        </is>
      </c>
    </row>
    <row r="54" ht="10.5" customHeight="1" s="93">
      <c r="A54" s="25" t="n">
        <v>46117</v>
      </c>
      <c r="B54" s="26" t="inlineStr">
        <is>
          <t>Spend Money</t>
        </is>
      </c>
      <c r="C54" s="26" t="inlineStr">
        <is>
          <t>THAPA ANASHRUT - Video creation and editing fee</t>
        </is>
      </c>
      <c r="D54" s="26" t="inlineStr">
        <is>
          <t>ch_3TIzeeEjTdT89IXK0wx2iuwc | pi_3TIzeeEjTdT89IXK0QYMdbAk</t>
        </is>
      </c>
      <c r="E54" s="27" t="n">
        <v>2.07</v>
      </c>
      <c r="F54" s="18" t="n">
        <v>0</v>
      </c>
      <c r="G54" s="18">
        <f>((G53 + E54) - F54)</f>
        <v/>
      </c>
      <c r="H54" s="18" t="n">
        <v>0</v>
      </c>
      <c r="I54" s="19" t="n">
        <v>0</v>
      </c>
      <c r="J54" s="20" t="inlineStr">
        <is>
          <t>GST Free Expenses</t>
        </is>
      </c>
    </row>
    <row r="55" ht="10.5" customHeight="1" s="93">
      <c r="A55" s="25" t="n">
        <v>46124</v>
      </c>
      <c r="B55" s="26" t="inlineStr">
        <is>
          <t>Spend Money</t>
        </is>
      </c>
      <c r="C55" s="26" t="inlineStr">
        <is>
          <t>THAPA ANASHRUT - Video creation and editing fee</t>
        </is>
      </c>
      <c r="D55" s="26" t="inlineStr">
        <is>
          <t>ch_3TLSc0EjTdT89IXK1JJglzeE | pi_3TLSc0EjTdT89IXK1IMjbCZN</t>
        </is>
      </c>
      <c r="E55" s="27" t="n">
        <v>5.36</v>
      </c>
      <c r="F55" s="18" t="n">
        <v>0</v>
      </c>
      <c r="G55" s="18">
        <f>((G54 + E55) - F55)</f>
        <v/>
      </c>
      <c r="H55" s="18" t="n">
        <v>0</v>
      </c>
      <c r="I55" s="19" t="n">
        <v>0</v>
      </c>
      <c r="J55" s="20" t="inlineStr">
        <is>
          <t>GST Free Expenses</t>
        </is>
      </c>
    </row>
    <row r="56" ht="10.5" customHeight="1" s="93">
      <c r="A56" s="25" t="n">
        <v>46124</v>
      </c>
      <c r="B56" s="26" t="inlineStr">
        <is>
          <t>Spend Money</t>
        </is>
      </c>
      <c r="C56" s="26" t="inlineStr">
        <is>
          <t>THAPA ANASHRUT - Video creation and editing fee</t>
        </is>
      </c>
      <c r="D56" s="26" t="inlineStr">
        <is>
          <t>ch_3TLWZEEjTdT89IXK1nOj1oqy | pi_3TLWZEEjTdT89IXK10taJBSW</t>
        </is>
      </c>
      <c r="E56" s="27" t="n">
        <v>0.46</v>
      </c>
      <c r="F56" s="18" t="n">
        <v>0</v>
      </c>
      <c r="G56" s="18">
        <f>((G55 + E56) - F56)</f>
        <v/>
      </c>
      <c r="H56" s="18" t="n">
        <v>0</v>
      </c>
      <c r="I56" s="19" t="n">
        <v>0</v>
      </c>
      <c r="J56" s="20" t="inlineStr">
        <is>
          <t>GST Free Expenses</t>
        </is>
      </c>
    </row>
    <row r="57" ht="10.5" customHeight="1" s="93">
      <c r="A57" s="25" t="n">
        <v>46124</v>
      </c>
      <c r="B57" s="26" t="inlineStr">
        <is>
          <t>Spend Money</t>
        </is>
      </c>
      <c r="C57" s="26" t="inlineStr">
        <is>
          <t>THAPA ANASHRUT - Video creation and editing fee</t>
        </is>
      </c>
      <c r="D57" s="26" t="inlineStr">
        <is>
          <t>ch_3TLCzeEjTdT89IXK0y4JftF0 | pi_3TLCzeEjTdT89IXK0okze72Q</t>
        </is>
      </c>
      <c r="E57" s="27" t="n">
        <v>0.64</v>
      </c>
      <c r="F57" s="18" t="n">
        <v>0</v>
      </c>
      <c r="G57" s="18">
        <f>((G56 + E57) - F57)</f>
        <v/>
      </c>
      <c r="H57" s="18" t="n">
        <v>0</v>
      </c>
      <c r="I57" s="19" t="n">
        <v>0</v>
      </c>
      <c r="J57" s="20" t="inlineStr">
        <is>
          <t>GST Free Expenses</t>
        </is>
      </c>
    </row>
    <row r="58" ht="10.5" customHeight="1" s="93">
      <c r="A58" s="25" t="n">
        <v>46146</v>
      </c>
      <c r="B58" s="26" t="inlineStr">
        <is>
          <t>Spend Money</t>
        </is>
      </c>
      <c r="C58" s="26" t="inlineStr">
        <is>
          <t>THAPA ANASHRUT - Video creation and editing fee</t>
        </is>
      </c>
      <c r="D58" s="26" t="inlineStr">
        <is>
          <t>ch_3TTDZEEjTdT89IXK1NBQwJsy | pi_3TTDZEEjTdT89IXK1GywXNQb</t>
        </is>
      </c>
      <c r="E58" s="27" t="n">
        <v>9.67</v>
      </c>
      <c r="F58" s="18" t="n">
        <v>0</v>
      </c>
      <c r="G58" s="18">
        <f>((G57 + E58) - F58)</f>
        <v/>
      </c>
      <c r="H58" s="18" t="n">
        <v>0</v>
      </c>
      <c r="I58" s="19" t="n">
        <v>0</v>
      </c>
      <c r="J58" s="20" t="inlineStr">
        <is>
          <t>GST Free Expenses</t>
        </is>
      </c>
    </row>
    <row r="59" ht="10.5" customHeight="1" s="93">
      <c r="A59" s="25" t="n">
        <v>46158</v>
      </c>
      <c r="B59" s="26" t="inlineStr">
        <is>
          <t>Spend Money</t>
        </is>
      </c>
      <c r="C59" s="26" t="inlineStr">
        <is>
          <t>THAPA ANASHRUT - Video creation and editing fee</t>
        </is>
      </c>
      <c r="D59" s="26" t="inlineStr">
        <is>
          <t>ch_3TXrzeEjTdT89IXK0Y4Hxpkb | pi_3TXrzeEjTdT89IXK0X2mTd4f</t>
        </is>
      </c>
      <c r="E59" s="27" t="n">
        <v>0.64</v>
      </c>
      <c r="F59" s="18" t="n">
        <v>0</v>
      </c>
      <c r="G59" s="18">
        <f>((G58 + E59) - F59)</f>
        <v/>
      </c>
      <c r="H59" s="18" t="n">
        <v>0</v>
      </c>
      <c r="I59" s="19" t="n">
        <v>0</v>
      </c>
      <c r="J59" s="20" t="inlineStr">
        <is>
          <t>GST Free Expenses</t>
        </is>
      </c>
    </row>
    <row r="60" ht="10.5" customHeight="1" s="93">
      <c r="A60" s="25" t="n">
        <v>45842</v>
      </c>
      <c r="B60" s="26" t="inlineStr">
        <is>
          <t>Payable Invoice</t>
        </is>
      </c>
      <c r="C60" s="26" t="inlineStr">
        <is>
          <t>THAPA ANASHRUT - Video creation and editing fee -April 14- 20 /2025</t>
        </is>
      </c>
      <c r="D60" s="26" t="inlineStr">
        <is>
          <t>INVOICE NO. 000080</t>
        </is>
      </c>
      <c r="E60" s="27" t="n">
        <v>1000</v>
      </c>
      <c r="F60" s="18" t="n">
        <v>0</v>
      </c>
      <c r="G60" s="18">
        <f>((G59 + E60) - F60)</f>
        <v/>
      </c>
      <c r="H60" s="18" t="n">
        <v>0</v>
      </c>
      <c r="I60" s="19" t="n">
        <v>0</v>
      </c>
      <c r="J60" s="20" t="inlineStr">
        <is>
          <t>GST Free Expenses</t>
        </is>
      </c>
    </row>
    <row r="61" ht="10.5" customHeight="1" s="93">
      <c r="A61" s="25" t="n">
        <v>45842</v>
      </c>
      <c r="B61" s="26" t="inlineStr">
        <is>
          <t>Payable Invoice</t>
        </is>
      </c>
      <c r="C61" s="26" t="inlineStr">
        <is>
          <t>THAPA ANASHRUT - Video creation and editing fee -April 21-27 /2025</t>
        </is>
      </c>
      <c r="D61" s="26" t="inlineStr">
        <is>
          <t>INVOICE NO. 000081</t>
        </is>
      </c>
      <c r="E61" s="27" t="n">
        <v>1000</v>
      </c>
      <c r="F61" s="18" t="n">
        <v>0</v>
      </c>
      <c r="G61" s="18">
        <f>((G60 + E61) - F61)</f>
        <v/>
      </c>
      <c r="H61" s="18" t="n">
        <v>0</v>
      </c>
      <c r="I61" s="19" t="n">
        <v>0</v>
      </c>
      <c r="J61" s="20" t="inlineStr">
        <is>
          <t>GST Free Expenses</t>
        </is>
      </c>
    </row>
    <row r="62" ht="10.5" customHeight="1" s="93">
      <c r="A62" s="25" t="n">
        <v>46157</v>
      </c>
      <c r="B62" s="26" t="inlineStr">
        <is>
          <t>Payable Invoice</t>
        </is>
      </c>
      <c r="C62" s="26" t="inlineStr">
        <is>
          <t>THAPA ANASHRUT - Video creation and editing fee April 7-13/2026</t>
        </is>
      </c>
      <c r="D62" s="26" t="inlineStr">
        <is>
          <t>INVOICE NO. 132</t>
        </is>
      </c>
      <c r="E62" s="27" t="n">
        <v>1000</v>
      </c>
      <c r="F62" s="18" t="n">
        <v>0</v>
      </c>
      <c r="G62" s="18">
        <f>((G61 + E62) - F62)</f>
        <v/>
      </c>
      <c r="H62" s="18" t="n">
        <v>0</v>
      </c>
      <c r="I62" s="19" t="n">
        <v>0</v>
      </c>
      <c r="J62" s="20" t="inlineStr">
        <is>
          <t>GST Free Expenses</t>
        </is>
      </c>
    </row>
    <row r="63" ht="10.5" customHeight="1" s="93">
      <c r="A63" s="25" t="n">
        <v>46006</v>
      </c>
      <c r="B63" s="26" t="inlineStr">
        <is>
          <t>Payable Invoice</t>
        </is>
      </c>
      <c r="C63" s="26" t="inlineStr">
        <is>
          <t>THAPA ANASHRUT - Video creation and editing fee Aug 12-18 /2025</t>
        </is>
      </c>
      <c r="D63" s="26" t="inlineStr">
        <is>
          <t>INVOICE NO. 00098</t>
        </is>
      </c>
      <c r="E63" s="27" t="n">
        <v>1000</v>
      </c>
      <c r="F63" s="18" t="n">
        <v>0</v>
      </c>
      <c r="G63" s="18">
        <f>((G62 + E63) - F63)</f>
        <v/>
      </c>
      <c r="H63" s="18" t="n">
        <v>0</v>
      </c>
      <c r="I63" s="19" t="n">
        <v>0</v>
      </c>
      <c r="J63" s="20" t="inlineStr">
        <is>
          <t>GST Free Expenses</t>
        </is>
      </c>
    </row>
    <row r="64" ht="10.5" customHeight="1" s="93">
      <c r="A64" s="25" t="n">
        <v>45947</v>
      </c>
      <c r="B64" s="26" t="inlineStr">
        <is>
          <t>Payable Invoice</t>
        </is>
      </c>
      <c r="C64" s="26" t="inlineStr">
        <is>
          <t>THAPA ANASHRUT - Video creation and editing fee Aug 19-25/2025</t>
        </is>
      </c>
      <c r="D64" s="26" t="inlineStr">
        <is>
          <t>INVOICE NO. 000099</t>
        </is>
      </c>
      <c r="E64" s="27" t="n">
        <v>1000</v>
      </c>
      <c r="F64" s="18" t="n">
        <v>0</v>
      </c>
      <c r="G64" s="18">
        <f>((G63 + E64) - F64)</f>
        <v/>
      </c>
      <c r="H64" s="18" t="n">
        <v>0</v>
      </c>
      <c r="I64" s="19" t="n">
        <v>0</v>
      </c>
      <c r="J64" s="20" t="inlineStr">
        <is>
          <t>GST Free Expenses</t>
        </is>
      </c>
    </row>
    <row r="65" ht="10.5" customHeight="1" s="93">
      <c r="A65" s="25" t="n">
        <v>45947</v>
      </c>
      <c r="B65" s="26" t="inlineStr">
        <is>
          <t>Payable Invoice</t>
        </is>
      </c>
      <c r="C65" s="26" t="inlineStr">
        <is>
          <t>THAPA ANASHRUT - Video creation and editing fee Aug 26-Sep 1 /2025</t>
        </is>
      </c>
      <c r="D65" s="26" t="inlineStr">
        <is>
          <t>INVOICE NO. 000100</t>
        </is>
      </c>
      <c r="E65" s="27" t="n">
        <v>1000</v>
      </c>
      <c r="F65" s="18" t="n">
        <v>0</v>
      </c>
      <c r="G65" s="18">
        <f>((G64 + E65) - F65)</f>
        <v/>
      </c>
      <c r="H65" s="18" t="n">
        <v>0</v>
      </c>
      <c r="I65" s="19" t="n">
        <v>0</v>
      </c>
      <c r="J65" s="20" t="inlineStr">
        <is>
          <t>GST Free Expenses</t>
        </is>
      </c>
    </row>
    <row r="66" ht="10.5" customHeight="1" s="93">
      <c r="A66" s="25" t="n">
        <v>46006</v>
      </c>
      <c r="B66" s="26" t="inlineStr">
        <is>
          <t>Payable Invoice</t>
        </is>
      </c>
      <c r="C66" s="26" t="inlineStr">
        <is>
          <t>THAPA ANASHRUT - Video creation and editing fee Aug 5-11 /2025</t>
        </is>
      </c>
      <c r="D66" s="26" t="inlineStr">
        <is>
          <t>INVOICE NO. 00097</t>
        </is>
      </c>
      <c r="E66" s="27" t="n">
        <v>1000</v>
      </c>
      <c r="F66" s="18" t="n">
        <v>0</v>
      </c>
      <c r="G66" s="18">
        <f>((G65 + E66) - F66)</f>
        <v/>
      </c>
      <c r="H66" s="18" t="n">
        <v>0</v>
      </c>
      <c r="I66" s="19" t="n">
        <v>0</v>
      </c>
      <c r="J66" s="20" t="inlineStr">
        <is>
          <t>GST Free Expenses</t>
        </is>
      </c>
    </row>
    <row r="67" ht="10.5" customHeight="1" s="93">
      <c r="A67" s="25" t="n">
        <v>46037</v>
      </c>
      <c r="B67" s="26" t="inlineStr">
        <is>
          <t>Payable Invoice</t>
        </is>
      </c>
      <c r="C67" s="26" t="inlineStr">
        <is>
          <t>THAPA ANASHRUT - Video creation and editing fee Dec 16-22/2025</t>
        </is>
      </c>
      <c r="D67" s="26" t="inlineStr">
        <is>
          <t>INVOICE NO. 116</t>
        </is>
      </c>
      <c r="E67" s="27" t="n">
        <v>1000</v>
      </c>
      <c r="F67" s="18" t="n">
        <v>0</v>
      </c>
      <c r="G67" s="18">
        <f>((G66 + E67) - F67)</f>
        <v/>
      </c>
      <c r="H67" s="18" t="n">
        <v>0</v>
      </c>
      <c r="I67" s="19" t="n">
        <v>0</v>
      </c>
      <c r="J67" s="20" t="inlineStr">
        <is>
          <t>GST Free Expenses</t>
        </is>
      </c>
    </row>
    <row r="68" ht="10.5" customHeight="1" s="93">
      <c r="A68" s="25" t="n">
        <v>46057</v>
      </c>
      <c r="B68" s="26" t="inlineStr">
        <is>
          <t>Payable Invoice</t>
        </is>
      </c>
      <c r="C68" s="26" t="inlineStr">
        <is>
          <t>THAPA ANASHRUT - Video creation and editing fee Dec 23-29 /2025</t>
        </is>
      </c>
      <c r="D68" s="26" t="inlineStr">
        <is>
          <t>INVOICE NO. 117</t>
        </is>
      </c>
      <c r="E68" s="27" t="n">
        <v>1000</v>
      </c>
      <c r="F68" s="18" t="n">
        <v>0</v>
      </c>
      <c r="G68" s="18">
        <f>((G67 + E68) - F68)</f>
        <v/>
      </c>
      <c r="H68" s="18" t="n">
        <v>0</v>
      </c>
      <c r="I68" s="19" t="n">
        <v>0</v>
      </c>
      <c r="J68" s="20" t="inlineStr">
        <is>
          <t>GST Free Expenses</t>
        </is>
      </c>
    </row>
    <row r="69" ht="10.5" customHeight="1" s="93">
      <c r="A69" s="25" t="n">
        <v>46020</v>
      </c>
      <c r="B69" s="26" t="inlineStr">
        <is>
          <t>Payable Invoice</t>
        </is>
      </c>
      <c r="C69" s="26" t="inlineStr">
        <is>
          <t>THAPA ANASHRUT - Video creation and editing fee Dec 2-8/2025</t>
        </is>
      </c>
      <c r="D69" s="26" t="inlineStr">
        <is>
          <t>INVOICE NO. 000114</t>
        </is>
      </c>
      <c r="E69" s="27" t="n">
        <v>1000</v>
      </c>
      <c r="F69" s="18" t="n">
        <v>0</v>
      </c>
      <c r="G69" s="18">
        <f>((G68 + E69) - F69)</f>
        <v/>
      </c>
      <c r="H69" s="18" t="n">
        <v>0</v>
      </c>
      <c r="I69" s="19" t="n">
        <v>0</v>
      </c>
      <c r="J69" s="20" t="inlineStr">
        <is>
          <t>GST Free Expenses</t>
        </is>
      </c>
    </row>
    <row r="70" ht="10.5" customHeight="1" s="93">
      <c r="A70" s="25" t="n">
        <v>46057</v>
      </c>
      <c r="B70" s="26" t="inlineStr">
        <is>
          <t>Payable Invoice</t>
        </is>
      </c>
      <c r="C70" s="26" t="inlineStr">
        <is>
          <t>THAPA ANASHRUT - Video creation and editing fee Dec 30/2025 - Jan 5/2026</t>
        </is>
      </c>
      <c r="D70" s="26" t="inlineStr">
        <is>
          <t>INVOICE NO. 118</t>
        </is>
      </c>
      <c r="E70" s="27" t="n">
        <v>1000</v>
      </c>
      <c r="F70" s="18" t="n">
        <v>0</v>
      </c>
      <c r="G70" s="18">
        <f>((G69 + E70) - F70)</f>
        <v/>
      </c>
      <c r="H70" s="18" t="n">
        <v>0</v>
      </c>
      <c r="I70" s="19" t="n">
        <v>0</v>
      </c>
      <c r="J70" s="20" t="inlineStr">
        <is>
          <t>GST Free Expenses</t>
        </is>
      </c>
    </row>
    <row r="71" ht="10.5" customHeight="1" s="93">
      <c r="A71" s="25" t="n">
        <v>46037</v>
      </c>
      <c r="B71" s="26" t="inlineStr">
        <is>
          <t>Payable Invoice</t>
        </is>
      </c>
      <c r="C71" s="26" t="inlineStr">
        <is>
          <t>THAPA ANASHRUT - Video creation and editing fee Dec 9-15 /2025</t>
        </is>
      </c>
      <c r="D71" s="26" t="inlineStr">
        <is>
          <t>INVOICE NO. 115</t>
        </is>
      </c>
      <c r="E71" s="27" t="n">
        <v>1000</v>
      </c>
      <c r="F71" s="18" t="n">
        <v>0</v>
      </c>
      <c r="G71" s="18">
        <f>((G70 + E71) - F71)</f>
        <v/>
      </c>
      <c r="H71" s="18" t="n">
        <v>0</v>
      </c>
      <c r="I71" s="19" t="n">
        <v>0</v>
      </c>
      <c r="J71" s="20" t="inlineStr">
        <is>
          <t>GST Free Expenses</t>
        </is>
      </c>
    </row>
    <row r="72" ht="10.5" customHeight="1" s="93">
      <c r="A72" s="25" t="n">
        <v>46088</v>
      </c>
      <c r="B72" s="26" t="inlineStr">
        <is>
          <t>Payable Invoice</t>
        </is>
      </c>
      <c r="C72" s="26" t="inlineStr">
        <is>
          <t>THAPA ANASHRUT - Video creation and editing fee Feb 10-16 /2026</t>
        </is>
      </c>
      <c r="D72" s="26" t="inlineStr">
        <is>
          <t>INVOICE NO. 124</t>
        </is>
      </c>
      <c r="E72" s="27" t="n">
        <v>1000</v>
      </c>
      <c r="F72" s="18" t="n">
        <v>0</v>
      </c>
      <c r="G72" s="18">
        <f>((G71 + E72) - F72)</f>
        <v/>
      </c>
      <c r="H72" s="18" t="n">
        <v>0</v>
      </c>
      <c r="I72" s="19" t="n">
        <v>0</v>
      </c>
      <c r="J72" s="20" t="inlineStr">
        <is>
          <t>GST Free Expenses</t>
        </is>
      </c>
    </row>
    <row r="73" ht="10.5" customHeight="1" s="93">
      <c r="A73" s="25" t="n">
        <v>46102</v>
      </c>
      <c r="B73" s="26" t="inlineStr">
        <is>
          <t>Payable Invoice</t>
        </is>
      </c>
      <c r="C73" s="26" t="inlineStr">
        <is>
          <t>THAPA ANASHRUT - Video creation and editing fee Feb 16-22/2026</t>
        </is>
      </c>
      <c r="D73" s="26" t="inlineStr">
        <is>
          <t>INVOICE NO. 125</t>
        </is>
      </c>
      <c r="E73" s="27" t="n">
        <v>1000</v>
      </c>
      <c r="F73" s="18" t="n">
        <v>0</v>
      </c>
      <c r="G73" s="18">
        <f>((G72 + E73) - F73)</f>
        <v/>
      </c>
      <c r="H73" s="18" t="n">
        <v>0</v>
      </c>
      <c r="I73" s="19" t="n">
        <v>0</v>
      </c>
      <c r="J73" s="20" t="inlineStr">
        <is>
          <t>GST Free Expenses</t>
        </is>
      </c>
    </row>
    <row r="74" ht="10.5" customHeight="1" s="93">
      <c r="A74" s="25" t="n">
        <v>46102</v>
      </c>
      <c r="B74" s="26" t="inlineStr">
        <is>
          <t>Payable Invoice</t>
        </is>
      </c>
      <c r="C74" s="26" t="inlineStr">
        <is>
          <t>THAPA ANASHRUT - Video creation and editing fee Feb 23- Mar 2 /2026</t>
        </is>
      </c>
      <c r="D74" s="26" t="inlineStr">
        <is>
          <t>INVOICE NO. 126</t>
        </is>
      </c>
      <c r="E74" s="27" t="n">
        <v>1000</v>
      </c>
      <c r="F74" s="18" t="n">
        <v>0</v>
      </c>
      <c r="G74" s="18">
        <f>((G73 + E74) - F74)</f>
        <v/>
      </c>
      <c r="H74" s="18" t="n">
        <v>0</v>
      </c>
      <c r="I74" s="19" t="n">
        <v>0</v>
      </c>
      <c r="J74" s="20" t="inlineStr">
        <is>
          <t>GST Free Expenses</t>
        </is>
      </c>
    </row>
    <row r="75" ht="10.5" customHeight="1" s="93">
      <c r="A75" s="25" t="n">
        <v>46088</v>
      </c>
      <c r="B75" s="26" t="inlineStr">
        <is>
          <t>Payable Invoice</t>
        </is>
      </c>
      <c r="C75" s="26" t="inlineStr">
        <is>
          <t>THAPA ANASHRUT - Video creation and editing fee Feb 3-9/2026</t>
        </is>
      </c>
      <c r="D75" s="26" t="inlineStr">
        <is>
          <t>INVOICE NO. 123</t>
        </is>
      </c>
      <c r="E75" s="27" t="n">
        <v>1000</v>
      </c>
      <c r="F75" s="18" t="n">
        <v>0</v>
      </c>
      <c r="G75" s="18">
        <f>((G74 + E75) - F75)</f>
        <v/>
      </c>
      <c r="H75" s="18" t="n">
        <v>0</v>
      </c>
      <c r="I75" s="19" t="n">
        <v>0</v>
      </c>
      <c r="J75" s="20" t="inlineStr">
        <is>
          <t>GST Free Expenses</t>
        </is>
      </c>
    </row>
    <row r="76" ht="10.5" customHeight="1" s="93">
      <c r="A76" s="25" t="n">
        <v>46079</v>
      </c>
      <c r="B76" s="26" t="inlineStr">
        <is>
          <t>Payable Invoice</t>
        </is>
      </c>
      <c r="C76" s="26" t="inlineStr">
        <is>
          <t>THAPA ANASHRUT - Video creation and editing fee Jan 20-26/2026</t>
        </is>
      </c>
      <c r="D76" s="26" t="inlineStr">
        <is>
          <t>INVOICE NO. 121</t>
        </is>
      </c>
      <c r="E76" s="27" t="n">
        <v>1000</v>
      </c>
      <c r="F76" s="18" t="n">
        <v>0</v>
      </c>
      <c r="G76" s="18">
        <f>((G75 + E76) - F76)</f>
        <v/>
      </c>
      <c r="H76" s="18" t="n">
        <v>0</v>
      </c>
      <c r="I76" s="19" t="n">
        <v>0</v>
      </c>
      <c r="J76" s="20" t="inlineStr">
        <is>
          <t>GST Free Expenses</t>
        </is>
      </c>
    </row>
    <row r="77" ht="10.5" customHeight="1" s="93">
      <c r="A77" s="25" t="n">
        <v>46079</v>
      </c>
      <c r="B77" s="26" t="inlineStr">
        <is>
          <t>Payable Invoice</t>
        </is>
      </c>
      <c r="C77" s="26" t="inlineStr">
        <is>
          <t>THAPA ANASHRUT - Video creation and editing fee Jan 27-Feb 2/2026</t>
        </is>
      </c>
      <c r="D77" s="26" t="inlineStr">
        <is>
          <t>INVOICE NO. 122</t>
        </is>
      </c>
      <c r="E77" s="27" t="n">
        <v>1000</v>
      </c>
      <c r="F77" s="18" t="n">
        <v>0</v>
      </c>
      <c r="G77" s="18">
        <f>((G76 + E77) - F77)</f>
        <v/>
      </c>
      <c r="H77" s="18" t="n">
        <v>0</v>
      </c>
      <c r="I77" s="19" t="n">
        <v>0</v>
      </c>
      <c r="J77" s="20" t="inlineStr">
        <is>
          <t>GST Free Expenses</t>
        </is>
      </c>
    </row>
    <row r="78" ht="10.5" customHeight="1" s="93">
      <c r="A78" s="25" t="n">
        <v>46071</v>
      </c>
      <c r="B78" s="26" t="inlineStr">
        <is>
          <t>Payable Invoice</t>
        </is>
      </c>
      <c r="C78" s="26" t="inlineStr">
        <is>
          <t>THAPA ANASHRUT - Video creation and editing fee Jan 6-12/2026</t>
        </is>
      </c>
      <c r="D78" s="26" t="inlineStr">
        <is>
          <t>INVOICE NO. 119</t>
        </is>
      </c>
      <c r="E78" s="27" t="n">
        <v>1000</v>
      </c>
      <c r="F78" s="18" t="n">
        <v>0</v>
      </c>
      <c r="G78" s="18">
        <f>((G77 + E78) - F78)</f>
        <v/>
      </c>
      <c r="H78" s="18" t="n">
        <v>0</v>
      </c>
      <c r="I78" s="19" t="n">
        <v>0</v>
      </c>
      <c r="J78" s="20" t="inlineStr">
        <is>
          <t>GST Free Expenses</t>
        </is>
      </c>
    </row>
    <row r="79" ht="10.5" customHeight="1" s="93">
      <c r="A79" s="25" t="n">
        <v>46071</v>
      </c>
      <c r="B79" s="26" t="inlineStr">
        <is>
          <t>Payable Invoice</t>
        </is>
      </c>
      <c r="C79" s="26" t="inlineStr">
        <is>
          <t>THAPA ANASHRUT - Video creation and editing fee Jan 6-12/2026</t>
        </is>
      </c>
      <c r="D79" s="26" t="inlineStr">
        <is>
          <t>INVOICE NO. 120</t>
        </is>
      </c>
      <c r="E79" s="27" t="n">
        <v>1000</v>
      </c>
      <c r="F79" s="18" t="n">
        <v>0</v>
      </c>
      <c r="G79" s="18">
        <f>((G78 + E79) - F79)</f>
        <v/>
      </c>
      <c r="H79" s="18" t="n">
        <v>0</v>
      </c>
      <c r="I79" s="19" t="n">
        <v>0</v>
      </c>
      <c r="J79" s="20" t="inlineStr">
        <is>
          <t>GST Free Expenses</t>
        </is>
      </c>
    </row>
    <row r="80" ht="10.5" customHeight="1" s="93">
      <c r="A80" s="25" t="n">
        <v>45901</v>
      </c>
      <c r="B80" s="26" t="inlineStr">
        <is>
          <t>Payable Invoice</t>
        </is>
      </c>
      <c r="C80" s="26" t="inlineStr">
        <is>
          <t>THAPA ANASHRUT - Video creation and editing fee July 15-21 /2025</t>
        </is>
      </c>
      <c r="D80" s="26" t="inlineStr">
        <is>
          <t>INVOICE NO. 000094</t>
        </is>
      </c>
      <c r="E80" s="27" t="n">
        <v>1000</v>
      </c>
      <c r="F80" s="18" t="n">
        <v>0</v>
      </c>
      <c r="G80" s="18">
        <f>((G79 + E80) - F80)</f>
        <v/>
      </c>
      <c r="H80" s="18" t="n">
        <v>0</v>
      </c>
      <c r="I80" s="19" t="n">
        <v>0</v>
      </c>
      <c r="J80" s="20" t="inlineStr">
        <is>
          <t>GST Free Expenses</t>
        </is>
      </c>
    </row>
    <row r="81" ht="10.5" customHeight="1" s="93">
      <c r="A81" s="25" t="n">
        <v>45886</v>
      </c>
      <c r="B81" s="26" t="inlineStr">
        <is>
          <t>Payable Invoice</t>
        </is>
      </c>
      <c r="C81" s="26" t="inlineStr">
        <is>
          <t>THAPA ANASHRUT - Video creation and editing fee July 1-7 /2025</t>
        </is>
      </c>
      <c r="D81" s="26" t="inlineStr">
        <is>
          <t>INVOICE NO. 000092</t>
        </is>
      </c>
      <c r="E81" s="27" t="n">
        <v>1000</v>
      </c>
      <c r="F81" s="18" t="n">
        <v>0</v>
      </c>
      <c r="G81" s="18">
        <f>((G80 + E81) - F81)</f>
        <v/>
      </c>
      <c r="H81" s="18" t="n">
        <v>0</v>
      </c>
      <c r="I81" s="19" t="n">
        <v>0</v>
      </c>
      <c r="J81" s="20" t="inlineStr">
        <is>
          <t>GST Free Expenses</t>
        </is>
      </c>
    </row>
    <row r="82" ht="10.5" customHeight="1" s="93">
      <c r="A82" s="25" t="n">
        <v>45905</v>
      </c>
      <c r="B82" s="26" t="inlineStr">
        <is>
          <t>Payable Invoice</t>
        </is>
      </c>
      <c r="C82" s="26" t="inlineStr">
        <is>
          <t>THAPA ANASHRUT - Video creation and editing fee July 22-28 /2025</t>
        </is>
      </c>
      <c r="D82" s="26" t="inlineStr">
        <is>
          <t>INVOICE NO. 000095</t>
        </is>
      </c>
      <c r="E82" s="27" t="n">
        <v>1000</v>
      </c>
      <c r="F82" s="18" t="n">
        <v>0</v>
      </c>
      <c r="G82" s="18">
        <f>((G81 + E82) - F82)</f>
        <v/>
      </c>
      <c r="H82" s="18" t="n">
        <v>0</v>
      </c>
      <c r="I82" s="19" t="n">
        <v>0</v>
      </c>
      <c r="J82" s="20" t="inlineStr">
        <is>
          <t>GST Free Expenses</t>
        </is>
      </c>
    </row>
    <row r="83" ht="10.5" customHeight="1" s="93">
      <c r="A83" s="25" t="n">
        <v>45905</v>
      </c>
      <c r="B83" s="26" t="inlineStr">
        <is>
          <t>Payable Invoice</t>
        </is>
      </c>
      <c r="C83" s="26" t="inlineStr">
        <is>
          <t>THAPA ANASHRUT - Video creation and editing fee July 29-Aug 4 /2025</t>
        </is>
      </c>
      <c r="D83" s="26" t="inlineStr">
        <is>
          <t>INVOICE NO. 000096</t>
        </is>
      </c>
      <c r="E83" s="27" t="n">
        <v>1000</v>
      </c>
      <c r="F83" s="18" t="n">
        <v>0</v>
      </c>
      <c r="G83" s="18">
        <f>((G82 + E83) - F83)</f>
        <v/>
      </c>
      <c r="H83" s="18" t="n">
        <v>0</v>
      </c>
      <c r="I83" s="19" t="n">
        <v>0</v>
      </c>
      <c r="J83" s="20" t="inlineStr">
        <is>
          <t>GST Free Expenses</t>
        </is>
      </c>
    </row>
    <row r="84" ht="10.5" customHeight="1" s="93">
      <c r="A84" s="25" t="n">
        <v>45901</v>
      </c>
      <c r="B84" s="26" t="inlineStr">
        <is>
          <t>Payable Invoice</t>
        </is>
      </c>
      <c r="C84" s="26" t="inlineStr">
        <is>
          <t>THAPA ANASHRUT - Video creation and editing fee July 8-14 /2025</t>
        </is>
      </c>
      <c r="D84" s="26" t="inlineStr">
        <is>
          <t>INVOICE NO. 000093</t>
        </is>
      </c>
      <c r="E84" s="27" t="n">
        <v>1000</v>
      </c>
      <c r="F84" s="18" t="n">
        <v>0</v>
      </c>
      <c r="G84" s="18">
        <f>((G83 + E84) - F84)</f>
        <v/>
      </c>
      <c r="H84" s="18" t="n">
        <v>0</v>
      </c>
      <c r="I84" s="19" t="n">
        <v>0</v>
      </c>
      <c r="J84" s="20" t="inlineStr">
        <is>
          <t>GST Free Expenses</t>
        </is>
      </c>
    </row>
    <row r="85" ht="10.5" customHeight="1" s="93">
      <c r="A85" s="25" t="n">
        <v>45880</v>
      </c>
      <c r="B85" s="26" t="inlineStr">
        <is>
          <t>Payable Invoice</t>
        </is>
      </c>
      <c r="C85" s="26" t="inlineStr">
        <is>
          <t>THAPA ANASHRUT - Video creation and editing fee --June 10- 16 /2025</t>
        </is>
      </c>
      <c r="D85" s="26" t="inlineStr">
        <is>
          <t>INVOICE NO. 000089</t>
        </is>
      </c>
      <c r="E85" s="27" t="n">
        <v>1000</v>
      </c>
      <c r="F85" s="18" t="n">
        <v>0</v>
      </c>
      <c r="G85" s="18">
        <f>((G84 + E85) - F85)</f>
        <v/>
      </c>
      <c r="H85" s="18" t="n">
        <v>0</v>
      </c>
      <c r="I85" s="19" t="n">
        <v>0</v>
      </c>
      <c r="J85" s="20" t="inlineStr">
        <is>
          <t>GST Free Expenses</t>
        </is>
      </c>
    </row>
    <row r="86" ht="10.5" customHeight="1" s="93">
      <c r="A86" s="25" t="n">
        <v>45880</v>
      </c>
      <c r="B86" s="26" t="inlineStr">
        <is>
          <t>Payable Invoice</t>
        </is>
      </c>
      <c r="C86" s="26" t="inlineStr">
        <is>
          <t>THAPA ANASHRUT - Video creation and editing fee -June 17- 23 /2025</t>
        </is>
      </c>
      <c r="D86" s="26" t="inlineStr">
        <is>
          <t>INVOICE NO. 000090</t>
        </is>
      </c>
      <c r="E86" s="27" t="n">
        <v>1000</v>
      </c>
      <c r="F86" s="18" t="n">
        <v>0</v>
      </c>
      <c r="G86" s="18">
        <f>((G85 + E86) - F86)</f>
        <v/>
      </c>
      <c r="H86" s="18" t="n">
        <v>0</v>
      </c>
      <c r="I86" s="19" t="n">
        <v>0</v>
      </c>
      <c r="J86" s="20" t="inlineStr">
        <is>
          <t>GST Free Expenses</t>
        </is>
      </c>
    </row>
    <row r="87" ht="10.5" customHeight="1" s="93">
      <c r="A87" s="25" t="n">
        <v>45886</v>
      </c>
      <c r="B87" s="26" t="inlineStr">
        <is>
          <t>Payable Invoice</t>
        </is>
      </c>
      <c r="C87" s="26" t="inlineStr">
        <is>
          <t>THAPA ANASHRUT - Video creation and editing fee June 24-30 /2025</t>
        </is>
      </c>
      <c r="D87" s="26" t="inlineStr">
        <is>
          <t>INVOICE NO. 000091</t>
        </is>
      </c>
      <c r="E87" s="27" t="n">
        <v>1000</v>
      </c>
      <c r="F87" s="18" t="n">
        <v>0</v>
      </c>
      <c r="G87" s="18">
        <f>((G86 + E87) - F87)</f>
        <v/>
      </c>
      <c r="H87" s="18" t="n">
        <v>0</v>
      </c>
      <c r="I87" s="19" t="n">
        <v>0</v>
      </c>
      <c r="J87" s="20" t="inlineStr">
        <is>
          <t>GST Free Expenses</t>
        </is>
      </c>
    </row>
    <row r="88" ht="10.5" customHeight="1" s="93">
      <c r="A88" s="25" t="n">
        <v>46121</v>
      </c>
      <c r="B88" s="26" t="inlineStr">
        <is>
          <t>Payable Invoice</t>
        </is>
      </c>
      <c r="C88" s="26" t="inlineStr">
        <is>
          <t>THAPA ANASHRUT - Video creation and editing fee Mar 10-16 /2026</t>
        </is>
      </c>
      <c r="D88" s="26" t="inlineStr">
        <is>
          <t>INVOICE NO. 128</t>
        </is>
      </c>
      <c r="E88" s="27" t="n">
        <v>1000</v>
      </c>
      <c r="F88" s="18" t="n">
        <v>0</v>
      </c>
      <c r="G88" s="18">
        <f>((G87 + E88) - F88)</f>
        <v/>
      </c>
      <c r="H88" s="18" t="n">
        <v>0</v>
      </c>
      <c r="I88" s="19" t="n">
        <v>0</v>
      </c>
      <c r="J88" s="20" t="inlineStr">
        <is>
          <t>GST Free Expenses</t>
        </is>
      </c>
    </row>
    <row r="89" ht="10.5" customHeight="1" s="93">
      <c r="A89" s="25" t="n">
        <v>46140</v>
      </c>
      <c r="B89" s="26" t="inlineStr">
        <is>
          <t>Payable Invoice</t>
        </is>
      </c>
      <c r="C89" s="26" t="inlineStr">
        <is>
          <t>THAPA ANASHRUT - Video creation and editing fee Mar 17-23/2026</t>
        </is>
      </c>
      <c r="D89" s="26" t="inlineStr">
        <is>
          <t>INVOICE NO. 129</t>
        </is>
      </c>
      <c r="E89" s="27" t="n">
        <v>1083.46</v>
      </c>
      <c r="F89" s="18" t="n">
        <v>0</v>
      </c>
      <c r="G89" s="18">
        <f>((G88 + E89) - F89)</f>
        <v/>
      </c>
      <c r="H89" s="18" t="n">
        <v>0</v>
      </c>
      <c r="I89" s="19" t="n">
        <v>0</v>
      </c>
      <c r="J89" s="20" t="inlineStr">
        <is>
          <t>GST Free Expenses</t>
        </is>
      </c>
    </row>
    <row r="90" ht="10.5" customHeight="1" s="93">
      <c r="A90" s="25" t="n">
        <v>46140</v>
      </c>
      <c r="B90" s="26" t="inlineStr">
        <is>
          <t>Payable Invoice</t>
        </is>
      </c>
      <c r="C90" s="26" t="inlineStr">
        <is>
          <t>THAPA ANASHRUT - Video creation and editing fee Mar 24-30/2026</t>
        </is>
      </c>
      <c r="D90" s="26" t="inlineStr">
        <is>
          <t>INVOICE NO. 130</t>
        </is>
      </c>
      <c r="E90" s="27" t="n">
        <v>1000</v>
      </c>
      <c r="F90" s="18" t="n">
        <v>0</v>
      </c>
      <c r="G90" s="18">
        <f>((G89 + E90) - F90)</f>
        <v/>
      </c>
      <c r="H90" s="18" t="n">
        <v>0</v>
      </c>
      <c r="I90" s="19" t="n">
        <v>0</v>
      </c>
      <c r="J90" s="20" t="inlineStr">
        <is>
          <t>GST Free Expenses</t>
        </is>
      </c>
    </row>
    <row r="91" ht="10.5" customHeight="1" s="93">
      <c r="A91" s="25" t="n">
        <v>46157</v>
      </c>
      <c r="B91" s="26" t="inlineStr">
        <is>
          <t>Payable Invoice</t>
        </is>
      </c>
      <c r="C91" s="26" t="inlineStr">
        <is>
          <t>THAPA ANASHRUT - Video creation and editing fee Mar 31-Apr 6/2026</t>
        </is>
      </c>
      <c r="D91" s="26" t="inlineStr">
        <is>
          <t>INVOICE NO. 131</t>
        </is>
      </c>
      <c r="E91" s="27" t="n">
        <v>1000</v>
      </c>
      <c r="F91" s="18" t="n">
        <v>0</v>
      </c>
      <c r="G91" s="18">
        <f>((G90 + E91) - F91)</f>
        <v/>
      </c>
      <c r="H91" s="18" t="n">
        <v>0</v>
      </c>
      <c r="I91" s="19" t="n">
        <v>0</v>
      </c>
      <c r="J91" s="20" t="inlineStr">
        <is>
          <t>GST Free Expenses</t>
        </is>
      </c>
    </row>
    <row r="92" ht="10.5" customHeight="1" s="93">
      <c r="A92" s="25" t="n">
        <v>46121</v>
      </c>
      <c r="B92" s="26" t="inlineStr">
        <is>
          <t>Payable Invoice</t>
        </is>
      </c>
      <c r="C92" s="26" t="inlineStr">
        <is>
          <t>THAPA ANASHRUT - Video creation and editing fee Mar 3-9/2026</t>
        </is>
      </c>
      <c r="D92" s="26" t="inlineStr">
        <is>
          <t>INVOICE NO. 127</t>
        </is>
      </c>
      <c r="E92" s="27" t="n">
        <v>1000</v>
      </c>
      <c r="F92" s="18" t="n">
        <v>0</v>
      </c>
      <c r="G92" s="18">
        <f>((G91 + E92) - F92)</f>
        <v/>
      </c>
      <c r="H92" s="18" t="n">
        <v>0</v>
      </c>
      <c r="I92" s="19" t="n">
        <v>0</v>
      </c>
      <c r="J92" s="20" t="inlineStr">
        <is>
          <t>GST Free Expenses</t>
        </is>
      </c>
    </row>
    <row r="93" ht="10.5" customHeight="1" s="93">
      <c r="A93" s="25" t="n">
        <v>45859</v>
      </c>
      <c r="B93" s="26" t="inlineStr">
        <is>
          <t>Payable Invoice</t>
        </is>
      </c>
      <c r="C93" s="26" t="inlineStr">
        <is>
          <t>THAPA ANASHRUT - Video creation and editing fee -May 27 - June 2 /2025</t>
        </is>
      </c>
      <c r="D93" s="26" t="inlineStr">
        <is>
          <t>INVOICE NO. 000088</t>
        </is>
      </c>
      <c r="E93" s="27" t="n">
        <v>1000</v>
      </c>
      <c r="F93" s="18" t="n">
        <v>0</v>
      </c>
      <c r="G93" s="18">
        <f>((G92 + E93) - F93)</f>
        <v/>
      </c>
      <c r="H93" s="18" t="n">
        <v>0</v>
      </c>
      <c r="I93" s="19" t="n">
        <v>0</v>
      </c>
      <c r="J93" s="20" t="inlineStr">
        <is>
          <t>GST Free Expenses</t>
        </is>
      </c>
    </row>
    <row r="94" ht="10.5" customHeight="1" s="93">
      <c r="A94" s="25" t="n">
        <v>45859</v>
      </c>
      <c r="B94" s="26" t="inlineStr">
        <is>
          <t>Payable Invoice</t>
        </is>
      </c>
      <c r="C94" s="26" t="inlineStr">
        <is>
          <t>THAPA ANASHRUT - Video creation and editing fee -May 27 - June 2 /2025</t>
        </is>
      </c>
      <c r="D94" s="26" t="inlineStr">
        <is>
          <t>INVOICE NO. 000087</t>
        </is>
      </c>
      <c r="E94" s="27" t="n">
        <v>1000</v>
      </c>
      <c r="F94" s="18" t="n">
        <v>0</v>
      </c>
      <c r="G94" s="18">
        <f>((G93 + E94) - F94)</f>
        <v/>
      </c>
      <c r="H94" s="18" t="n">
        <v>0</v>
      </c>
      <c r="I94" s="19" t="n">
        <v>0</v>
      </c>
      <c r="J94" s="20" t="inlineStr">
        <is>
          <t>GST Free Expenses</t>
        </is>
      </c>
    </row>
    <row r="95" ht="10.5" customHeight="1" s="93">
      <c r="A95" s="25" t="n">
        <v>46020</v>
      </c>
      <c r="B95" s="26" t="inlineStr">
        <is>
          <t>Payable Invoice</t>
        </is>
      </c>
      <c r="C95" s="26" t="inlineStr">
        <is>
          <t>THAPA ANASHRUT - Video creation and editing fee Nov 11-17/2025</t>
        </is>
      </c>
      <c r="D95" s="26" t="inlineStr">
        <is>
          <t>INVOICE NO. 000111</t>
        </is>
      </c>
      <c r="E95" s="27" t="n">
        <v>1000</v>
      </c>
      <c r="F95" s="18" t="n">
        <v>0</v>
      </c>
      <c r="G95" s="18">
        <f>((G94 + E95) - F95)</f>
        <v/>
      </c>
      <c r="H95" s="18" t="n">
        <v>0</v>
      </c>
      <c r="I95" s="19" t="n">
        <v>0</v>
      </c>
      <c r="J95" s="20" t="inlineStr">
        <is>
          <t>GST Free Expenses</t>
        </is>
      </c>
    </row>
    <row r="96" ht="10.5" customHeight="1" s="93">
      <c r="A96" s="25" t="n">
        <v>46020</v>
      </c>
      <c r="B96" s="26" t="inlineStr">
        <is>
          <t>Payable Invoice</t>
        </is>
      </c>
      <c r="C96" s="26" t="inlineStr">
        <is>
          <t>THAPA ANASHRUT - Video creation and editing fee Nov 18-24/2025</t>
        </is>
      </c>
      <c r="D96" s="26" t="inlineStr">
        <is>
          <t>INVOICE NO. 000112</t>
        </is>
      </c>
      <c r="E96" s="27" t="n">
        <v>1000</v>
      </c>
      <c r="F96" s="18" t="n">
        <v>0</v>
      </c>
      <c r="G96" s="18">
        <f>((G95 + E96) - F96)</f>
        <v/>
      </c>
      <c r="H96" s="18" t="n">
        <v>0</v>
      </c>
      <c r="I96" s="19" t="n">
        <v>0</v>
      </c>
      <c r="J96" s="20" t="inlineStr">
        <is>
          <t>GST Free Expenses</t>
        </is>
      </c>
    </row>
    <row r="97" ht="10.5" customHeight="1" s="93">
      <c r="A97" s="25" t="n">
        <v>46020</v>
      </c>
      <c r="B97" s="26" t="inlineStr">
        <is>
          <t>Payable Invoice</t>
        </is>
      </c>
      <c r="C97" s="26" t="inlineStr">
        <is>
          <t>THAPA ANASHRUT - Video creation and editing fee Nov 25-Dec 1 /2025</t>
        </is>
      </c>
      <c r="D97" s="26" t="inlineStr">
        <is>
          <t>INVOICE NO. 000113</t>
        </is>
      </c>
      <c r="E97" s="27" t="n">
        <v>1000</v>
      </c>
      <c r="F97" s="18" t="n">
        <v>0</v>
      </c>
      <c r="G97" s="18">
        <f>((G96 + E97) - F97)</f>
        <v/>
      </c>
      <c r="H97" s="18" t="n">
        <v>0</v>
      </c>
      <c r="I97" s="19" t="n">
        <v>0</v>
      </c>
      <c r="J97" s="20" t="inlineStr">
        <is>
          <t>GST Free Expenses</t>
        </is>
      </c>
    </row>
    <row r="98" ht="10.5" customHeight="1" s="93">
      <c r="A98" s="25" t="n">
        <v>46129</v>
      </c>
      <c r="B98" s="26" t="inlineStr">
        <is>
          <t>Payable Invoice</t>
        </is>
      </c>
      <c r="C98" s="26" t="inlineStr">
        <is>
          <t>THAPA ANASHRUT - Video creation and editing fee Oct 28 - Nov 3/2025</t>
        </is>
      </c>
      <c r="D98" s="26" t="inlineStr">
        <is>
          <t>INVOICE NO. 109</t>
        </is>
      </c>
      <c r="E98" s="27" t="n">
        <v>1000</v>
      </c>
      <c r="F98" s="18" t="n">
        <v>0</v>
      </c>
      <c r="G98" s="18">
        <f>((G97 + E98) - F98)</f>
        <v/>
      </c>
      <c r="H98" s="18" t="n">
        <v>0</v>
      </c>
      <c r="I98" s="19" t="n">
        <v>0</v>
      </c>
      <c r="J98" s="20" t="inlineStr">
        <is>
          <t>GST Free Expenses</t>
        </is>
      </c>
    </row>
    <row r="99" ht="10.5" customHeight="1" s="93">
      <c r="A99" s="25" t="n">
        <v>45989</v>
      </c>
      <c r="B99" s="26" t="inlineStr">
        <is>
          <t>Payable Invoice</t>
        </is>
      </c>
      <c r="C99" s="26" t="inlineStr">
        <is>
          <t>THAPA ANASHRUT - Video creation and editing fee Oct 7-13/2025</t>
        </is>
      </c>
      <c r="D99" s="26" t="inlineStr">
        <is>
          <t>INVOICE NO. 000106</t>
        </is>
      </c>
      <c r="E99" s="27" t="n">
        <v>1000</v>
      </c>
      <c r="F99" s="18" t="n">
        <v>0</v>
      </c>
      <c r="G99" s="18">
        <f>((G98 + E99) - F99)</f>
        <v/>
      </c>
      <c r="H99" s="18" t="n">
        <v>0</v>
      </c>
      <c r="I99" s="19" t="n">
        <v>0</v>
      </c>
      <c r="J99" s="20" t="inlineStr">
        <is>
          <t>GST Free Expenses</t>
        </is>
      </c>
    </row>
    <row r="100" ht="10.5" customHeight="1" s="93">
      <c r="A100" s="25" t="n">
        <v>45973</v>
      </c>
      <c r="B100" s="26" t="inlineStr">
        <is>
          <t>Payable Invoice</t>
        </is>
      </c>
      <c r="C100" s="26" t="inlineStr">
        <is>
          <t>THAPA ANASHRUT - Video creation and editing fee Sep 23-29 /2025</t>
        </is>
      </c>
      <c r="D100" s="26" t="inlineStr">
        <is>
          <t>INVOICE NO. 000104</t>
        </is>
      </c>
      <c r="E100" s="27" t="n">
        <v>1000</v>
      </c>
      <c r="F100" s="18" t="n">
        <v>0</v>
      </c>
      <c r="G100" s="18">
        <f>((G99 + E100) - F100)</f>
        <v/>
      </c>
      <c r="H100" s="18" t="n">
        <v>0</v>
      </c>
      <c r="I100" s="19" t="n">
        <v>0</v>
      </c>
      <c r="J100" s="20" t="inlineStr">
        <is>
          <t>GST Free Expenses</t>
        </is>
      </c>
    </row>
    <row r="101" ht="10.5" customHeight="1" s="93">
      <c r="A101" s="25" t="n">
        <v>45958</v>
      </c>
      <c r="B101" s="26" t="inlineStr">
        <is>
          <t>Payable Invoice</t>
        </is>
      </c>
      <c r="C101" s="26" t="inlineStr">
        <is>
          <t>THAPA ANASHRUT - Video creation and editing fee Sep 2-8/2025</t>
        </is>
      </c>
      <c r="D101" s="26" t="inlineStr">
        <is>
          <t>INVOICE NO. 000101</t>
        </is>
      </c>
      <c r="E101" s="27" t="n">
        <v>1000</v>
      </c>
      <c r="F101" s="18" t="n">
        <v>0</v>
      </c>
      <c r="G101" s="18">
        <f>((G100 + E101) - F101)</f>
        <v/>
      </c>
      <c r="H101" s="18" t="n">
        <v>0</v>
      </c>
      <c r="I101" s="19" t="n">
        <v>0</v>
      </c>
      <c r="J101" s="20" t="inlineStr">
        <is>
          <t>GST Free Expenses</t>
        </is>
      </c>
    </row>
    <row r="102" ht="10.5" customHeight="1" s="93">
      <c r="A102" s="25" t="n">
        <v>45989</v>
      </c>
      <c r="B102" s="26" t="inlineStr">
        <is>
          <t>Payable Invoice</t>
        </is>
      </c>
      <c r="C102" s="26" t="inlineStr">
        <is>
          <t>THAPA ANASHRUT - Video creation and editing fee Sep 29- Oct 6 /2025</t>
        </is>
      </c>
      <c r="D102" s="26" t="inlineStr">
        <is>
          <t>INVOICE NO. 000105</t>
        </is>
      </c>
      <c r="E102" s="27" t="n">
        <v>1000</v>
      </c>
      <c r="F102" s="18" t="n">
        <v>0</v>
      </c>
      <c r="G102" s="18">
        <f>((G101 + E102) - F102)</f>
        <v/>
      </c>
      <c r="H102" s="18" t="n">
        <v>0</v>
      </c>
      <c r="I102" s="19" t="n">
        <v>0</v>
      </c>
      <c r="J102" s="20" t="inlineStr">
        <is>
          <t>GST Free Expenses</t>
        </is>
      </c>
    </row>
    <row r="103" ht="10.5" customHeight="1" s="93">
      <c r="A103" s="25" t="n">
        <v>45958</v>
      </c>
      <c r="B103" s="26" t="inlineStr">
        <is>
          <t>Payable Invoice</t>
        </is>
      </c>
      <c r="C103" s="26" t="inlineStr">
        <is>
          <t>THAPA ANASHRUT - Video creation and editing fee Sep 9-15/2025</t>
        </is>
      </c>
      <c r="D103" s="26" t="inlineStr">
        <is>
          <t>INVOICE NO. 000102</t>
        </is>
      </c>
      <c r="E103" s="27" t="n">
        <v>1000</v>
      </c>
      <c r="F103" s="18" t="n">
        <v>0</v>
      </c>
      <c r="G103" s="18">
        <f>((G102 + E103) - F103)</f>
        <v/>
      </c>
      <c r="H103" s="18" t="n">
        <v>0</v>
      </c>
      <c r="I103" s="19" t="n">
        <v>0</v>
      </c>
      <c r="J103" s="20" t="inlineStr">
        <is>
          <t>GST Free Expenses</t>
        </is>
      </c>
    </row>
    <row r="104" ht="10.5" customHeight="1" s="93">
      <c r="A104" s="25" t="n">
        <v>45973</v>
      </c>
      <c r="B104" s="26" t="inlineStr">
        <is>
          <t>Payable Invoice</t>
        </is>
      </c>
      <c r="C104" s="26" t="inlineStr">
        <is>
          <t>THAPA ANASHRUT - Video creation and editing fee Sep 9-15/2025</t>
        </is>
      </c>
      <c r="D104" s="26" t="inlineStr">
        <is>
          <t>INVOICE NO. 000103</t>
        </is>
      </c>
      <c r="E104" s="27" t="n">
        <v>1000</v>
      </c>
      <c r="F104" s="18" t="n">
        <v>0</v>
      </c>
      <c r="G104" s="18">
        <f>((G103 + E104) - F104)</f>
        <v/>
      </c>
      <c r="H104" s="18" t="n">
        <v>0</v>
      </c>
      <c r="I104" s="19" t="n">
        <v>0</v>
      </c>
      <c r="J104" s="20" t="inlineStr">
        <is>
          <t>GST Free Expenses</t>
        </is>
      </c>
    </row>
    <row r="105" ht="10.5" customHeight="1" s="93">
      <c r="A105" s="25" t="n">
        <v>46129</v>
      </c>
      <c r="B105" s="26" t="inlineStr">
        <is>
          <t>Payable Invoice</t>
        </is>
      </c>
      <c r="C105" s="26" t="inlineStr">
        <is>
          <t>THAPA ANASHRUT - Video creation and editing feeNov 4 - 10/2025</t>
        </is>
      </c>
      <c r="D105" s="26" t="inlineStr">
        <is>
          <t>INVOICE NO. 110</t>
        </is>
      </c>
      <c r="E105" s="27" t="n">
        <v>1000</v>
      </c>
      <c r="F105" s="18" t="n">
        <v>0</v>
      </c>
      <c r="G105" s="18">
        <f>((G104 + E105) - F105)</f>
        <v/>
      </c>
      <c r="H105" s="18" t="n">
        <v>0</v>
      </c>
      <c r="I105" s="19" t="n">
        <v>0</v>
      </c>
      <c r="J105" s="20" t="inlineStr">
        <is>
          <t>GST Free Expenses</t>
        </is>
      </c>
    </row>
    <row r="106" ht="10.5" customHeight="1" s="93">
      <c r="A106" s="39" t="n">
        <v>45841</v>
      </c>
      <c r="B106" s="40" t="inlineStr">
        <is>
          <t>Spend Money</t>
        </is>
      </c>
      <c r="C106" s="40" t="inlineStr">
        <is>
          <t>Upwork</t>
        </is>
      </c>
      <c r="D106" s="40" t="n"/>
      <c r="E106" s="41" t="n">
        <v>814.5700000000001</v>
      </c>
      <c r="F106" s="18" t="n">
        <v>0</v>
      </c>
      <c r="G106" s="18">
        <f>((G105 + E106) - F106)</f>
        <v/>
      </c>
      <c r="H106" s="18" t="n">
        <v>81.45999999999999</v>
      </c>
      <c r="I106" s="19" t="n">
        <v>10</v>
      </c>
      <c r="J106" s="20" t="inlineStr">
        <is>
          <t>GST on Expenses</t>
        </is>
      </c>
    </row>
    <row r="107" ht="10.5" customHeight="1" s="93">
      <c r="A107" s="39" t="n">
        <v>45848</v>
      </c>
      <c r="B107" s="40" t="inlineStr">
        <is>
          <t>Spend Money</t>
        </is>
      </c>
      <c r="C107" s="40" t="inlineStr">
        <is>
          <t>Upwork</t>
        </is>
      </c>
      <c r="D107" s="40" t="n"/>
      <c r="E107" s="41" t="n">
        <v>819.27</v>
      </c>
      <c r="F107" s="18" t="n">
        <v>0</v>
      </c>
      <c r="G107" s="18">
        <f>((G106 + E107) - F107)</f>
        <v/>
      </c>
      <c r="H107" s="18" t="n">
        <v>81.93000000000001</v>
      </c>
      <c r="I107" s="19" t="n">
        <v>10</v>
      </c>
      <c r="J107" s="20" t="inlineStr">
        <is>
          <t>GST on Expenses</t>
        </is>
      </c>
    </row>
    <row r="108" ht="10.5" customHeight="1" s="93">
      <c r="A108" s="39" t="n">
        <v>45855</v>
      </c>
      <c r="B108" s="40" t="inlineStr">
        <is>
          <t>Spend Money</t>
        </is>
      </c>
      <c r="C108" s="40" t="inlineStr">
        <is>
          <t>Upwork</t>
        </is>
      </c>
      <c r="D108" s="40" t="n"/>
      <c r="E108" s="41" t="n">
        <v>814.3200000000001</v>
      </c>
      <c r="F108" s="18" t="n">
        <v>0</v>
      </c>
      <c r="G108" s="18">
        <f>((G107 + E108) - F108)</f>
        <v/>
      </c>
      <c r="H108" s="18" t="n">
        <v>81.43000000000001</v>
      </c>
      <c r="I108" s="19" t="n">
        <v>10</v>
      </c>
      <c r="J108" s="20" t="inlineStr">
        <is>
          <t>GST on Expenses</t>
        </is>
      </c>
    </row>
    <row r="109" ht="10.5" customHeight="1" s="93">
      <c r="A109" s="39" t="n">
        <v>45862</v>
      </c>
      <c r="B109" s="40" t="inlineStr">
        <is>
          <t>Spend Money</t>
        </is>
      </c>
      <c r="C109" s="40" t="inlineStr">
        <is>
          <t>Upwork</t>
        </is>
      </c>
      <c r="D109" s="40" t="n"/>
      <c r="E109" s="41" t="n">
        <v>817.96</v>
      </c>
      <c r="F109" s="18" t="n">
        <v>0</v>
      </c>
      <c r="G109" s="18">
        <f>((G108 + E109) - F109)</f>
        <v/>
      </c>
      <c r="H109" s="18" t="n">
        <v>81.8</v>
      </c>
      <c r="I109" s="19" t="n">
        <v>10</v>
      </c>
      <c r="J109" s="20" t="inlineStr">
        <is>
          <t>GST on Expenses</t>
        </is>
      </c>
    </row>
    <row r="110" ht="10.5" customHeight="1" s="93">
      <c r="A110" s="39" t="n">
        <v>45869</v>
      </c>
      <c r="B110" s="40" t="inlineStr">
        <is>
          <t>Spend Money</t>
        </is>
      </c>
      <c r="C110" s="40" t="inlineStr">
        <is>
          <t>Upwork</t>
        </is>
      </c>
      <c r="D110" s="40" t="n"/>
      <c r="E110" s="41" t="n">
        <v>654.47</v>
      </c>
      <c r="F110" s="18" t="n">
        <v>0</v>
      </c>
      <c r="G110" s="18">
        <f>((G109 + E110) - F110)</f>
        <v/>
      </c>
      <c r="H110" s="18" t="n">
        <v>65.45</v>
      </c>
      <c r="I110" s="19" t="n">
        <v>10</v>
      </c>
      <c r="J110" s="20" t="inlineStr">
        <is>
          <t>GST on Expenses</t>
        </is>
      </c>
    </row>
    <row r="111" ht="10.5" customHeight="1" s="93">
      <c r="A111" s="39" t="n">
        <v>45876</v>
      </c>
      <c r="B111" s="40" t="inlineStr">
        <is>
          <t>Spend Money</t>
        </is>
      </c>
      <c r="C111" s="40" t="inlineStr">
        <is>
          <t>Upwork</t>
        </is>
      </c>
      <c r="D111" s="40" t="n"/>
      <c r="E111" s="41" t="n">
        <v>824.83</v>
      </c>
      <c r="F111" s="18" t="n">
        <v>0</v>
      </c>
      <c r="G111" s="18">
        <f>((G110 + E111) - F111)</f>
        <v/>
      </c>
      <c r="H111" s="18" t="n">
        <v>82.48</v>
      </c>
      <c r="I111" s="19" t="n">
        <v>10</v>
      </c>
      <c r="J111" s="20" t="inlineStr">
        <is>
          <t>GST on Expenses</t>
        </is>
      </c>
    </row>
    <row r="112" ht="10.5" customHeight="1" s="93">
      <c r="A112" s="39" t="n">
        <v>45883</v>
      </c>
      <c r="B112" s="40" t="inlineStr">
        <is>
          <t>Spend Money</t>
        </is>
      </c>
      <c r="C112" s="40" t="inlineStr">
        <is>
          <t>Upwork</t>
        </is>
      </c>
      <c r="D112" s="40" t="n"/>
      <c r="E112" s="41" t="n">
        <v>820.45</v>
      </c>
      <c r="F112" s="18" t="n">
        <v>0</v>
      </c>
      <c r="G112" s="18">
        <f>((G111 + E112) - F112)</f>
        <v/>
      </c>
      <c r="H112" s="18" t="n">
        <v>82.05</v>
      </c>
      <c r="I112" s="19" t="n">
        <v>10</v>
      </c>
      <c r="J112" s="20" t="inlineStr">
        <is>
          <t>GST on Expenses</t>
        </is>
      </c>
    </row>
    <row r="113" ht="10.5" customHeight="1" s="93">
      <c r="A113" s="39" t="n">
        <v>45890</v>
      </c>
      <c r="B113" s="40" t="inlineStr">
        <is>
          <t>Spend Money</t>
        </is>
      </c>
      <c r="C113" s="40" t="inlineStr">
        <is>
          <t>Upwork</t>
        </is>
      </c>
      <c r="D113" s="40" t="n"/>
      <c r="E113" s="41" t="n">
        <v>822.84</v>
      </c>
      <c r="F113" s="18" t="n">
        <v>0</v>
      </c>
      <c r="G113" s="18">
        <f>((G112 + E113) - F113)</f>
        <v/>
      </c>
      <c r="H113" s="18" t="n">
        <v>82.28</v>
      </c>
      <c r="I113" s="19" t="n">
        <v>10</v>
      </c>
      <c r="J113" s="20" t="inlineStr">
        <is>
          <t>GST on Expenses</t>
        </is>
      </c>
    </row>
    <row r="114" ht="10.5" customHeight="1" s="93">
      <c r="A114" s="39" t="n">
        <v>45897</v>
      </c>
      <c r="B114" s="40" t="inlineStr">
        <is>
          <t>Spend Money</t>
        </is>
      </c>
      <c r="C114" s="40" t="inlineStr">
        <is>
          <t>Upwork</t>
        </is>
      </c>
      <c r="D114" s="40" t="n"/>
      <c r="E114" s="41" t="n">
        <v>821.25</v>
      </c>
      <c r="F114" s="18" t="n">
        <v>0</v>
      </c>
      <c r="G114" s="18">
        <f>((G113 + E114) - F114)</f>
        <v/>
      </c>
      <c r="H114" s="18" t="n">
        <v>82.12</v>
      </c>
      <c r="I114" s="19" t="n">
        <v>10</v>
      </c>
      <c r="J114" s="20" t="inlineStr">
        <is>
          <t>GST on Expenses</t>
        </is>
      </c>
    </row>
    <row r="115" ht="10.5" customHeight="1" s="93">
      <c r="A115" s="39" t="n">
        <v>45904</v>
      </c>
      <c r="B115" s="40" t="inlineStr">
        <is>
          <t>Spend Money</t>
        </is>
      </c>
      <c r="C115" s="40" t="inlineStr">
        <is>
          <t>Upwork</t>
        </is>
      </c>
      <c r="D115" s="40" t="n"/>
      <c r="E115" s="41" t="n">
        <v>814.1900000000001</v>
      </c>
      <c r="F115" s="18" t="n">
        <v>0</v>
      </c>
      <c r="G115" s="18">
        <f>((G114 + E115) - F115)</f>
        <v/>
      </c>
      <c r="H115" s="18" t="n">
        <v>81.42</v>
      </c>
      <c r="I115" s="19" t="n">
        <v>10</v>
      </c>
      <c r="J115" s="20" t="inlineStr">
        <is>
          <t>GST on Expenses</t>
        </is>
      </c>
    </row>
    <row r="116" ht="10.5" customHeight="1" s="93">
      <c r="A116" s="39" t="n">
        <v>45911</v>
      </c>
      <c r="B116" s="40" t="inlineStr">
        <is>
          <t>Spend Money</t>
        </is>
      </c>
      <c r="C116" s="40" t="inlineStr">
        <is>
          <t>Upwork</t>
        </is>
      </c>
      <c r="D116" s="40" t="n"/>
      <c r="E116" s="41" t="n">
        <v>827</v>
      </c>
      <c r="F116" s="18" t="n">
        <v>0</v>
      </c>
      <c r="G116" s="18">
        <f>((G115 + E116) - F116)</f>
        <v/>
      </c>
      <c r="H116" s="18" t="n">
        <v>82.7</v>
      </c>
      <c r="I116" s="19" t="n">
        <v>10</v>
      </c>
      <c r="J116" s="20" t="inlineStr">
        <is>
          <t>GST on Expenses</t>
        </is>
      </c>
    </row>
    <row r="117" ht="10.5" customHeight="1" s="93">
      <c r="A117" s="39" t="n">
        <v>45918</v>
      </c>
      <c r="B117" s="40" t="inlineStr">
        <is>
          <t>Spend Money</t>
        </is>
      </c>
      <c r="C117" s="40" t="inlineStr">
        <is>
          <t>Upwork</t>
        </is>
      </c>
      <c r="D117" s="40" t="n"/>
      <c r="E117" s="41" t="n">
        <v>841.7</v>
      </c>
      <c r="F117" s="18" t="n">
        <v>0</v>
      </c>
      <c r="G117" s="18">
        <f>((G116 + E117) - F117)</f>
        <v/>
      </c>
      <c r="H117" s="18" t="n">
        <v>84.17</v>
      </c>
      <c r="I117" s="19" t="n">
        <v>10</v>
      </c>
      <c r="J117" s="20" t="inlineStr">
        <is>
          <t>GST on Expenses</t>
        </is>
      </c>
    </row>
    <row r="118" ht="10.5" customHeight="1" s="93">
      <c r="A118" s="39" t="n">
        <v>45925</v>
      </c>
      <c r="B118" s="40" t="inlineStr">
        <is>
          <t>Spend Money</t>
        </is>
      </c>
      <c r="C118" s="40" t="inlineStr">
        <is>
          <t>Upwork</t>
        </is>
      </c>
      <c r="D118" s="40" t="n"/>
      <c r="E118" s="41" t="n">
        <v>850.64</v>
      </c>
      <c r="F118" s="18" t="n">
        <v>0</v>
      </c>
      <c r="G118" s="18">
        <f>((G117 + E118) - F118)</f>
        <v/>
      </c>
      <c r="H118" s="18" t="n">
        <v>85.06</v>
      </c>
      <c r="I118" s="19" t="n">
        <v>10</v>
      </c>
      <c r="J118" s="20" t="inlineStr">
        <is>
          <t>GST on Expenses</t>
        </is>
      </c>
    </row>
    <row r="119" ht="10.5" customHeight="1" s="93">
      <c r="A119" s="39" t="n">
        <v>45932</v>
      </c>
      <c r="B119" s="40" t="inlineStr">
        <is>
          <t>Spend Money</t>
        </is>
      </c>
      <c r="C119" s="40" t="inlineStr">
        <is>
          <t>Upwork</t>
        </is>
      </c>
      <c r="D119" s="40" t="n"/>
      <c r="E119" s="41" t="n">
        <v>852.39</v>
      </c>
      <c r="F119" s="18" t="n">
        <v>0</v>
      </c>
      <c r="G119" s="18">
        <f>((G118 + E119) - F119)</f>
        <v/>
      </c>
      <c r="H119" s="18" t="n">
        <v>85.23999999999999</v>
      </c>
      <c r="I119" s="19" t="n">
        <v>10</v>
      </c>
      <c r="J119" s="20" t="inlineStr">
        <is>
          <t>GST on Expenses</t>
        </is>
      </c>
    </row>
    <row r="120" ht="10.5" customHeight="1" s="93">
      <c r="A120" s="39" t="n">
        <v>45939</v>
      </c>
      <c r="B120" s="40" t="inlineStr">
        <is>
          <t>Spend Money</t>
        </is>
      </c>
      <c r="C120" s="40" t="inlineStr">
        <is>
          <t>Upwork</t>
        </is>
      </c>
      <c r="D120" s="40" t="n"/>
      <c r="E120" s="41" t="n">
        <v>847.15</v>
      </c>
      <c r="F120" s="18" t="n">
        <v>0</v>
      </c>
      <c r="G120" s="18">
        <f>((G119 + E120) - F120)</f>
        <v/>
      </c>
      <c r="H120" s="18" t="n">
        <v>84.70999999999999</v>
      </c>
      <c r="I120" s="19" t="n">
        <v>10</v>
      </c>
      <c r="J120" s="20" t="inlineStr">
        <is>
          <t>GST on Expenses</t>
        </is>
      </c>
    </row>
    <row r="121" ht="10.5" customHeight="1" s="93">
      <c r="A121" s="39" t="n">
        <v>45946</v>
      </c>
      <c r="B121" s="40" t="inlineStr">
        <is>
          <t>Spend Money</t>
        </is>
      </c>
      <c r="C121" s="40" t="inlineStr">
        <is>
          <t>Upwork</t>
        </is>
      </c>
      <c r="D121" s="40" t="n"/>
      <c r="E121" s="41" t="n">
        <v>860.72</v>
      </c>
      <c r="F121" s="18" t="n">
        <v>0</v>
      </c>
      <c r="G121" s="18">
        <f>((G120 + E121) - F121)</f>
        <v/>
      </c>
      <c r="H121" s="18" t="n">
        <v>86.06999999999999</v>
      </c>
      <c r="I121" s="19" t="n">
        <v>10</v>
      </c>
      <c r="J121" s="20" t="inlineStr">
        <is>
          <t>GST on Expenses</t>
        </is>
      </c>
    </row>
    <row r="122" ht="10.5" customHeight="1" s="93">
      <c r="A122" s="39" t="n">
        <v>45953</v>
      </c>
      <c r="B122" s="40" t="inlineStr">
        <is>
          <t>Spend Money</t>
        </is>
      </c>
      <c r="C122" s="40" t="inlineStr">
        <is>
          <t>Upwork</t>
        </is>
      </c>
      <c r="D122" s="40" t="n"/>
      <c r="E122" s="41" t="n">
        <v>861.27</v>
      </c>
      <c r="F122" s="18" t="n">
        <v>0</v>
      </c>
      <c r="G122" s="18">
        <f>((G121 + E122) - F122)</f>
        <v/>
      </c>
      <c r="H122" s="18" t="n">
        <v>86.13</v>
      </c>
      <c r="I122" s="19" t="n">
        <v>10</v>
      </c>
      <c r="J122" s="20" t="inlineStr">
        <is>
          <t>GST on Expenses</t>
        </is>
      </c>
    </row>
    <row r="123" ht="10.5" customHeight="1" s="93">
      <c r="A123" s="39" t="n">
        <v>45960</v>
      </c>
      <c r="B123" s="40" t="inlineStr">
        <is>
          <t>Spend Money</t>
        </is>
      </c>
      <c r="C123" s="40" t="inlineStr">
        <is>
          <t>Upwork</t>
        </is>
      </c>
      <c r="D123" s="40" t="n"/>
      <c r="E123" s="41" t="n">
        <v>856.33</v>
      </c>
      <c r="F123" s="18" t="n">
        <v>0</v>
      </c>
      <c r="G123" s="18">
        <f>((G122 + E123) - F123)</f>
        <v/>
      </c>
      <c r="H123" s="18" t="n">
        <v>85.63</v>
      </c>
      <c r="I123" s="19" t="n">
        <v>10</v>
      </c>
      <c r="J123" s="20" t="inlineStr">
        <is>
          <t>GST on Expenses</t>
        </is>
      </c>
    </row>
    <row r="124" ht="10.5" customHeight="1" s="93">
      <c r="A124" s="39" t="n">
        <v>45967</v>
      </c>
      <c r="B124" s="40" t="inlineStr">
        <is>
          <t>Spend Money</t>
        </is>
      </c>
      <c r="C124" s="40" t="inlineStr">
        <is>
          <t>Upwork</t>
        </is>
      </c>
      <c r="D124" s="40" t="n"/>
      <c r="E124" s="41" t="n">
        <v>858.25</v>
      </c>
      <c r="F124" s="18" t="n">
        <v>0</v>
      </c>
      <c r="G124" s="18">
        <f>((G123 + E124) - F124)</f>
        <v/>
      </c>
      <c r="H124" s="18" t="n">
        <v>85.81999999999999</v>
      </c>
      <c r="I124" s="19" t="n">
        <v>10</v>
      </c>
      <c r="J124" s="20" t="inlineStr">
        <is>
          <t>GST on Expenses</t>
        </is>
      </c>
    </row>
    <row r="125" ht="10.5" customHeight="1" s="93">
      <c r="A125" s="39" t="n">
        <v>45974</v>
      </c>
      <c r="B125" s="40" t="inlineStr">
        <is>
          <t>Spend Money</t>
        </is>
      </c>
      <c r="C125" s="40" t="inlineStr">
        <is>
          <t>Upwork</t>
        </is>
      </c>
      <c r="D125" s="40" t="n"/>
      <c r="E125" s="41" t="n">
        <v>687.04</v>
      </c>
      <c r="F125" s="18" t="n">
        <v>0</v>
      </c>
      <c r="G125" s="18">
        <f>((G124 + E125) - F125)</f>
        <v/>
      </c>
      <c r="H125" s="18" t="n">
        <v>68.7</v>
      </c>
      <c r="I125" s="19" t="n">
        <v>10</v>
      </c>
      <c r="J125" s="20" t="inlineStr">
        <is>
          <t>GST on Expenses</t>
        </is>
      </c>
    </row>
    <row r="126" ht="10.5" customHeight="1" s="93">
      <c r="A126" s="39" t="n">
        <v>45988</v>
      </c>
      <c r="B126" s="40" t="inlineStr">
        <is>
          <t>Spend Money</t>
        </is>
      </c>
      <c r="C126" s="40" t="inlineStr">
        <is>
          <t>Upwork</t>
        </is>
      </c>
      <c r="D126" s="40" t="n"/>
      <c r="E126" s="41" t="n">
        <v>868.37</v>
      </c>
      <c r="F126" s="18" t="n">
        <v>0</v>
      </c>
      <c r="G126" s="18">
        <f>((G125 + E126) - F126)</f>
        <v/>
      </c>
      <c r="H126" s="18" t="n">
        <v>86.84</v>
      </c>
      <c r="I126" s="19" t="n">
        <v>10</v>
      </c>
      <c r="J126" s="20" t="inlineStr">
        <is>
          <t>GST on Expenses</t>
        </is>
      </c>
    </row>
    <row r="127" ht="10.5" customHeight="1" s="93">
      <c r="A127" s="39" t="n">
        <v>45995</v>
      </c>
      <c r="B127" s="40" t="inlineStr">
        <is>
          <t>Spend Money</t>
        </is>
      </c>
      <c r="C127" s="40" t="inlineStr">
        <is>
          <t>Upwork</t>
        </is>
      </c>
      <c r="D127" s="40" t="n"/>
      <c r="E127" s="41" t="n">
        <v>598</v>
      </c>
      <c r="F127" s="18" t="n">
        <v>0</v>
      </c>
      <c r="G127" s="18">
        <f>((G126 + E127) - F127)</f>
        <v/>
      </c>
      <c r="H127" s="18" t="n">
        <v>59.8</v>
      </c>
      <c r="I127" s="19" t="n">
        <v>10</v>
      </c>
      <c r="J127" s="20" t="inlineStr">
        <is>
          <t>GST on Expenses</t>
        </is>
      </c>
    </row>
    <row r="128" ht="10.5" customHeight="1" s="93">
      <c r="A128" s="39" t="n">
        <v>46002</v>
      </c>
      <c r="B128" s="40" t="inlineStr">
        <is>
          <t>Spend Money</t>
        </is>
      </c>
      <c r="C128" s="40" t="inlineStr">
        <is>
          <t>Upwork</t>
        </is>
      </c>
      <c r="D128" s="40" t="n"/>
      <c r="E128" s="41" t="n">
        <v>534.1</v>
      </c>
      <c r="F128" s="18" t="n">
        <v>0</v>
      </c>
      <c r="G128" s="18">
        <f>((G127 + E128) - F128)</f>
        <v/>
      </c>
      <c r="H128" s="18" t="n">
        <v>53.41</v>
      </c>
      <c r="I128" s="19" t="n">
        <v>10</v>
      </c>
      <c r="J128" s="20" t="inlineStr">
        <is>
          <t>GST on Expenses</t>
        </is>
      </c>
    </row>
    <row r="129" ht="10.5" customHeight="1" s="93">
      <c r="A129" s="39" t="n">
        <v>46009</v>
      </c>
      <c r="B129" s="40" t="inlineStr">
        <is>
          <t>Spend Money</t>
        </is>
      </c>
      <c r="C129" s="40" t="inlineStr">
        <is>
          <t>Upwork</t>
        </is>
      </c>
      <c r="D129" s="40" t="n"/>
      <c r="E129" s="41" t="n">
        <v>553.34</v>
      </c>
      <c r="F129" s="18" t="n">
        <v>0</v>
      </c>
      <c r="G129" s="18">
        <f>((G128 + E129) - F129)</f>
        <v/>
      </c>
      <c r="H129" s="18" t="n">
        <v>55.33</v>
      </c>
      <c r="I129" s="19" t="n">
        <v>10</v>
      </c>
      <c r="J129" s="20" t="inlineStr">
        <is>
          <t>GST on Expenses</t>
        </is>
      </c>
    </row>
    <row r="130" ht="10.5" customHeight="1" s="93">
      <c r="A130" s="39" t="n">
        <v>46016</v>
      </c>
      <c r="B130" s="40" t="inlineStr">
        <is>
          <t>Spend Money</t>
        </is>
      </c>
      <c r="C130" s="40" t="inlineStr">
        <is>
          <t>Upwork</t>
        </is>
      </c>
      <c r="D130" s="40" t="n"/>
      <c r="E130" s="41" t="n">
        <v>722.38</v>
      </c>
      <c r="F130" s="18" t="n">
        <v>0</v>
      </c>
      <c r="G130" s="18">
        <f>((G129 + E130) - F130)</f>
        <v/>
      </c>
      <c r="H130" s="18" t="n">
        <v>72.23999999999999</v>
      </c>
      <c r="I130" s="19" t="n">
        <v>10</v>
      </c>
      <c r="J130" s="20" t="inlineStr">
        <is>
          <t>GST on Expenses</t>
        </is>
      </c>
    </row>
    <row r="131" ht="10.5" customHeight="1" s="93">
      <c r="A131" s="39" t="n">
        <v>46023</v>
      </c>
      <c r="B131" s="40" t="inlineStr">
        <is>
          <t>Spend Money</t>
        </is>
      </c>
      <c r="C131" s="40" t="inlineStr">
        <is>
          <t>Upwork</t>
        </is>
      </c>
      <c r="D131" s="40" t="n"/>
      <c r="E131" s="41" t="n">
        <v>331.58</v>
      </c>
      <c r="F131" s="18" t="n">
        <v>0</v>
      </c>
      <c r="G131" s="18">
        <f>((G130 + E131) - F131)</f>
        <v/>
      </c>
      <c r="H131" s="18" t="n">
        <v>33.16</v>
      </c>
      <c r="I131" s="19" t="n">
        <v>10</v>
      </c>
      <c r="J131" s="20" t="inlineStr">
        <is>
          <t>GST on Expenses</t>
        </is>
      </c>
    </row>
    <row r="132" ht="10.5" customHeight="1" s="93">
      <c r="A132" s="39" t="n">
        <v>46030</v>
      </c>
      <c r="B132" s="40" t="inlineStr">
        <is>
          <t>Spend Money</t>
        </is>
      </c>
      <c r="C132" s="40" t="inlineStr">
        <is>
          <t>Upwork</t>
        </is>
      </c>
      <c r="D132" s="40" t="n"/>
      <c r="E132" s="41" t="n">
        <v>439.75</v>
      </c>
      <c r="F132" s="18" t="n">
        <v>0</v>
      </c>
      <c r="G132" s="18">
        <f>((G131 + E132) - F132)</f>
        <v/>
      </c>
      <c r="H132" s="18" t="n">
        <v>43.98</v>
      </c>
      <c r="I132" s="19" t="n">
        <v>10</v>
      </c>
      <c r="J132" s="20" t="inlineStr">
        <is>
          <t>GST on Expenses</t>
        </is>
      </c>
    </row>
    <row r="133" ht="10.5" customHeight="1" s="93">
      <c r="A133" s="39" t="n">
        <v>46086</v>
      </c>
      <c r="B133" s="40" t="inlineStr">
        <is>
          <t>Spend Money</t>
        </is>
      </c>
      <c r="C133" s="40" t="inlineStr">
        <is>
          <t>Upwork</t>
        </is>
      </c>
      <c r="D133" s="40" t="n"/>
      <c r="E133" s="41" t="n">
        <v>202.47</v>
      </c>
      <c r="F133" s="18" t="n">
        <v>0</v>
      </c>
      <c r="G133" s="18">
        <f>((G132 + E133) - F133)</f>
        <v/>
      </c>
      <c r="H133" s="18" t="n">
        <v>20.25</v>
      </c>
      <c r="I133" s="19" t="n">
        <v>10</v>
      </c>
      <c r="J133" s="20" t="inlineStr">
        <is>
          <t>GST on Expenses</t>
        </is>
      </c>
    </row>
    <row r="134" ht="10.5" customHeight="1" s="93">
      <c r="A134" s="39" t="n">
        <v>46093</v>
      </c>
      <c r="B134" s="40" t="inlineStr">
        <is>
          <t>Spend Money</t>
        </is>
      </c>
      <c r="C134" s="40" t="inlineStr">
        <is>
          <t>Upwork</t>
        </is>
      </c>
      <c r="D134" s="40" t="n"/>
      <c r="E134" s="41" t="n">
        <v>648.16</v>
      </c>
      <c r="F134" s="18" t="n">
        <v>0</v>
      </c>
      <c r="G134" s="18">
        <f>((G133 + E134) - F134)</f>
        <v/>
      </c>
      <c r="H134" s="18" t="n">
        <v>64.81999999999999</v>
      </c>
      <c r="I134" s="19" t="n">
        <v>10</v>
      </c>
      <c r="J134" s="20" t="inlineStr">
        <is>
          <t>GST on Expenses</t>
        </is>
      </c>
    </row>
    <row r="135" ht="10.5" customHeight="1" s="93">
      <c r="A135" s="28" t="inlineStr">
        <is>
          <t>Total Contractors - Content Creation</t>
        </is>
      </c>
      <c r="B135" s="28" t="n"/>
      <c r="C135" s="28" t="n"/>
      <c r="D135" s="28" t="n"/>
      <c r="E135" s="29">
        <f>SUM(E27:E134)</f>
        <v/>
      </c>
      <c r="F135" s="29">
        <f>SUM(F27:F134)</f>
        <v/>
      </c>
      <c r="G135" s="29">
        <f>G134</f>
        <v/>
      </c>
      <c r="H135" s="29">
        <f>SUM(H27:H134)</f>
        <v/>
      </c>
      <c r="I135" s="28" t="n"/>
      <c r="J135" s="28" t="n"/>
    </row>
    <row r="136" ht="10.5" customHeight="1" s="93">
      <c r="A136" s="28" t="inlineStr">
        <is>
          <t>Net movement</t>
        </is>
      </c>
      <c r="B136" s="28" t="n"/>
      <c r="C136" s="28" t="n"/>
      <c r="D136" s="28" t="n"/>
      <c r="E136" s="29" t="n">
        <v>86592.17</v>
      </c>
      <c r="F136" s="29" t="n">
        <v>0</v>
      </c>
      <c r="G136" s="29" t="n">
        <v>0</v>
      </c>
      <c r="H136" s="29" t="n">
        <v>0</v>
      </c>
      <c r="I136" s="28" t="n"/>
      <c r="J136" s="28" t="n"/>
    </row>
    <row r="137" ht="12.75" customHeight="1" s="93"/>
    <row r="138" ht="10.5" customHeight="1" s="93">
      <c r="A138" s="42" t="inlineStr">
        <is>
          <t>Contractors - Operations</t>
        </is>
      </c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</row>
    <row r="139" ht="12" customHeight="1" s="93">
      <c r="A139" s="43" t="n">
        <v>46147</v>
      </c>
      <c r="B139" s="44" t="inlineStr">
        <is>
          <t>Spend Money</t>
        </is>
      </c>
      <c r="C139" s="44" t="inlineStr">
        <is>
          <t>Dan Diaz Guerrero - Bonus - april 2026</t>
        </is>
      </c>
      <c r="D139" s="44" t="inlineStr">
        <is>
          <t>315</t>
        </is>
      </c>
      <c r="E139" s="45" t="n">
        <v>4619.01</v>
      </c>
      <c r="F139" s="46" t="n">
        <v>0</v>
      </c>
      <c r="G139" s="46">
        <f>((G137 + E139) - F139)</f>
        <v/>
      </c>
      <c r="H139" s="46" t="n">
        <v>0</v>
      </c>
      <c r="I139" s="47" t="n">
        <v>0</v>
      </c>
      <c r="J139" s="48" t="inlineStr">
        <is>
          <t>GST Free Expenses</t>
        </is>
      </c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0.5" customHeight="1" s="93">
      <c r="A140" s="49" t="n">
        <v>45902</v>
      </c>
      <c r="B140" s="50" t="inlineStr">
        <is>
          <t>Spend Money</t>
        </is>
      </c>
      <c r="C140" s="50" t="inlineStr">
        <is>
          <t>Dan Diaz Guerrero - Bonus - September 2025</t>
        </is>
      </c>
      <c r="D140" s="50" t="inlineStr">
        <is>
          <t>315</t>
        </is>
      </c>
      <c r="E140" s="51" t="n">
        <v>2700</v>
      </c>
      <c r="F140" s="12" t="n">
        <v>0</v>
      </c>
      <c r="G140" s="12">
        <f>((G139 + E140) - F140)</f>
        <v/>
      </c>
      <c r="H140" s="12" t="n">
        <v>0</v>
      </c>
      <c r="I140" s="13" t="n">
        <v>0</v>
      </c>
      <c r="J140" s="14" t="inlineStr">
        <is>
          <t>GST Free Expenses</t>
        </is>
      </c>
    </row>
    <row r="141" ht="10.5" customHeight="1" s="93">
      <c r="A141" s="33" t="n">
        <v>46028</v>
      </c>
      <c r="B141" s="34" t="inlineStr">
        <is>
          <t>Spend Money</t>
        </is>
      </c>
      <c r="C141" s="34" t="inlineStr">
        <is>
          <t>Dan Diaz Guerrero - Bonus for December 2025</t>
        </is>
      </c>
      <c r="D141" s="34" t="inlineStr">
        <is>
          <t>315</t>
        </is>
      </c>
      <c r="E141" s="35" t="n">
        <v>2550</v>
      </c>
      <c r="F141" s="18" t="n">
        <v>0</v>
      </c>
      <c r="G141" s="18">
        <f>((G140 + E141) - F141)</f>
        <v/>
      </c>
      <c r="H141" s="18" t="n">
        <v>0</v>
      </c>
      <c r="I141" s="19" t="n">
        <v>0</v>
      </c>
      <c r="J141" s="20" t="inlineStr">
        <is>
          <t>GST Free Expenses</t>
        </is>
      </c>
    </row>
    <row r="142" ht="10.5" customHeight="1" s="93">
      <c r="A142" s="33" t="n">
        <v>46083</v>
      </c>
      <c r="B142" s="34" t="inlineStr">
        <is>
          <t>Spend Money</t>
        </is>
      </c>
      <c r="C142" s="34" t="inlineStr">
        <is>
          <t>Dan Diaz Guerrero - Bonus For the month of February 2026</t>
        </is>
      </c>
      <c r="D142" s="34" t="inlineStr">
        <is>
          <t>315</t>
        </is>
      </c>
      <c r="E142" s="35" t="n">
        <v>4400</v>
      </c>
      <c r="F142" s="18" t="n">
        <v>0</v>
      </c>
      <c r="G142" s="18">
        <f>((G141 + E142) - F142)</f>
        <v/>
      </c>
      <c r="H142" s="18" t="n">
        <v>0</v>
      </c>
      <c r="I142" s="19" t="n">
        <v>0</v>
      </c>
      <c r="J142" s="20" t="inlineStr">
        <is>
          <t>GST Free Expenses</t>
        </is>
      </c>
    </row>
    <row r="143" ht="10.5" customHeight="1" s="93">
      <c r="A143" s="33" t="n">
        <v>46056</v>
      </c>
      <c r="B143" s="34" t="inlineStr">
        <is>
          <t>Spend Money</t>
        </is>
      </c>
      <c r="C143" s="34" t="inlineStr">
        <is>
          <t xml:space="preserve">Dan Diaz Guerrero - bonus for the month of January 2026 </t>
        </is>
      </c>
      <c r="D143" s="34" t="inlineStr">
        <is>
          <t>315</t>
        </is>
      </c>
      <c r="E143" s="35" t="n">
        <v>2550</v>
      </c>
      <c r="F143" s="18" t="n">
        <v>0</v>
      </c>
      <c r="G143" s="18">
        <f>((G142 + E143) - F143)</f>
        <v/>
      </c>
      <c r="H143" s="18" t="n">
        <v>0</v>
      </c>
      <c r="I143" s="19" t="n">
        <v>0</v>
      </c>
      <c r="J143" s="20" t="inlineStr">
        <is>
          <t>GST Free Expenses</t>
        </is>
      </c>
    </row>
    <row r="144" ht="10.5" customHeight="1" s="93">
      <c r="A144" s="33" t="n">
        <v>46115</v>
      </c>
      <c r="B144" s="34" t="inlineStr">
        <is>
          <t>Spend Money</t>
        </is>
      </c>
      <c r="C144" s="34" t="inlineStr">
        <is>
          <t xml:space="preserve">Dan Diaz Guerrero - Bonus For the month of March 2026  </t>
        </is>
      </c>
      <c r="D144" s="34" t="inlineStr">
        <is>
          <t>315</t>
        </is>
      </c>
      <c r="E144" s="35" t="n">
        <v>9682.209999999999</v>
      </c>
      <c r="F144" s="18" t="n">
        <v>0</v>
      </c>
      <c r="G144" s="18">
        <f>((G143 + E144) - F144)</f>
        <v/>
      </c>
      <c r="H144" s="18" t="n">
        <v>0</v>
      </c>
      <c r="I144" s="19" t="n">
        <v>0</v>
      </c>
      <c r="J144" s="20" t="inlineStr">
        <is>
          <t>GST Free Expenses</t>
        </is>
      </c>
    </row>
    <row r="145" ht="10.5" customHeight="1" s="93">
      <c r="A145" s="33" t="n">
        <v>46007</v>
      </c>
      <c r="B145" s="34" t="inlineStr">
        <is>
          <t>Spend Money</t>
        </is>
      </c>
      <c r="C145" s="34" t="inlineStr">
        <is>
          <t>Dan Diaz Guerrero - Chistmas Bonus</t>
        </is>
      </c>
      <c r="D145" s="34" t="inlineStr">
        <is>
          <t>315</t>
        </is>
      </c>
      <c r="E145" s="35" t="n">
        <v>1200</v>
      </c>
      <c r="F145" s="18" t="n">
        <v>0</v>
      </c>
      <c r="G145" s="18">
        <f>((G144 + E145) - F145)</f>
        <v/>
      </c>
      <c r="H145" s="18" t="n">
        <v>0</v>
      </c>
      <c r="I145" s="19" t="n">
        <v>0</v>
      </c>
      <c r="J145" s="20" t="inlineStr">
        <is>
          <t>GST Free Expenses</t>
        </is>
      </c>
    </row>
    <row r="146" ht="10.5" customHeight="1" s="93">
      <c r="A146" s="33" t="n">
        <v>46066</v>
      </c>
      <c r="B146" s="34" t="inlineStr">
        <is>
          <t>Spend Money</t>
        </is>
      </c>
      <c r="C146" s="34" t="inlineStr">
        <is>
          <t>Dan Diaz Guerrero - Fabruary 2026 - mid pay</t>
        </is>
      </c>
      <c r="D146" s="34" t="inlineStr">
        <is>
          <t>315</t>
        </is>
      </c>
      <c r="E146" s="35" t="n">
        <v>5000</v>
      </c>
      <c r="F146" s="18" t="n">
        <v>0</v>
      </c>
      <c r="G146" s="18">
        <f>((G145 + E146) - F146)</f>
        <v/>
      </c>
      <c r="H146" s="18" t="n">
        <v>0</v>
      </c>
      <c r="I146" s="19" t="n">
        <v>0</v>
      </c>
      <c r="J146" s="20" t="inlineStr">
        <is>
          <t>GST Free Expenses</t>
        </is>
      </c>
    </row>
    <row r="147" ht="10.5" customHeight="1" s="93">
      <c r="A147" s="33" t="n">
        <v>45884</v>
      </c>
      <c r="B147" s="34" t="inlineStr">
        <is>
          <t>Spend Money</t>
        </is>
      </c>
      <c r="C147" s="34" t="inlineStr">
        <is>
          <t>Dan Diaz Guerrero - For August 1-15, 2025</t>
        </is>
      </c>
      <c r="D147" s="34" t="inlineStr">
        <is>
          <t>315</t>
        </is>
      </c>
      <c r="E147" s="35" t="n">
        <v>5000</v>
      </c>
      <c r="F147" s="18" t="n">
        <v>0</v>
      </c>
      <c r="G147" s="18">
        <f>((G146 + E147) - F147)</f>
        <v/>
      </c>
      <c r="H147" s="18" t="n">
        <v>0</v>
      </c>
      <c r="I147" s="19" t="n">
        <v>0</v>
      </c>
      <c r="J147" s="20" t="inlineStr">
        <is>
          <t>GST Free Expenses</t>
        </is>
      </c>
    </row>
    <row r="148" ht="10.5" customHeight="1" s="93">
      <c r="A148" s="33" t="n">
        <v>46007</v>
      </c>
      <c r="B148" s="34" t="inlineStr">
        <is>
          <t>Spend Money</t>
        </is>
      </c>
      <c r="C148" s="34" t="inlineStr">
        <is>
          <t>Dan Diaz Guerrero - For December 1-15, 2025</t>
        </is>
      </c>
      <c r="D148" s="34" t="inlineStr">
        <is>
          <t>315</t>
        </is>
      </c>
      <c r="E148" s="35" t="n">
        <v>5000</v>
      </c>
      <c r="F148" s="18" t="n">
        <v>0</v>
      </c>
      <c r="G148" s="18">
        <f>((G147 + E148) - F148)</f>
        <v/>
      </c>
      <c r="H148" s="18" t="n">
        <v>0</v>
      </c>
      <c r="I148" s="19" t="n">
        <v>0</v>
      </c>
      <c r="J148" s="20" t="inlineStr">
        <is>
          <t>GST Free Expenses</t>
        </is>
      </c>
    </row>
    <row r="149" ht="10.5" customHeight="1" s="93">
      <c r="A149" s="33" t="n">
        <v>46037</v>
      </c>
      <c r="B149" s="34" t="inlineStr">
        <is>
          <t>Spend Money</t>
        </is>
      </c>
      <c r="C149" s="34" t="inlineStr">
        <is>
          <t>Dan Diaz Guerrero - For January 1-15, 2026</t>
        </is>
      </c>
      <c r="D149" s="34" t="inlineStr">
        <is>
          <t>315</t>
        </is>
      </c>
      <c r="E149" s="35" t="n">
        <v>5000</v>
      </c>
      <c r="F149" s="18" t="n">
        <v>0</v>
      </c>
      <c r="G149" s="18">
        <f>((G148 + E149) - F149)</f>
        <v/>
      </c>
      <c r="H149" s="18" t="n">
        <v>0</v>
      </c>
      <c r="I149" s="19" t="n">
        <v>0</v>
      </c>
      <c r="J149" s="20" t="inlineStr">
        <is>
          <t>GST Free Expenses</t>
        </is>
      </c>
    </row>
    <row r="150" ht="10.5" customHeight="1" s="93">
      <c r="A150" s="33" t="n">
        <v>45853</v>
      </c>
      <c r="B150" s="34" t="inlineStr">
        <is>
          <t>Spend Money</t>
        </is>
      </c>
      <c r="C150" s="34" t="inlineStr">
        <is>
          <t>Dan Diaz Guerrero - For July 1-15, 2025</t>
        </is>
      </c>
      <c r="D150" s="34" t="inlineStr">
        <is>
          <t>315</t>
        </is>
      </c>
      <c r="E150" s="35" t="n">
        <v>5000</v>
      </c>
      <c r="F150" s="18" t="n">
        <v>0</v>
      </c>
      <c r="G150" s="18">
        <f>((G149 + E150) - F150)</f>
        <v/>
      </c>
      <c r="H150" s="18" t="n">
        <v>0</v>
      </c>
      <c r="I150" s="19" t="n">
        <v>0</v>
      </c>
      <c r="J150" s="20" t="inlineStr">
        <is>
          <t>GST Free Expenses</t>
        </is>
      </c>
    </row>
    <row r="151" ht="10.5" customHeight="1" s="93">
      <c r="A151" s="33" t="n">
        <v>45839</v>
      </c>
      <c r="B151" s="34" t="inlineStr">
        <is>
          <t>Spend Money</t>
        </is>
      </c>
      <c r="C151" s="34" t="inlineStr">
        <is>
          <t>Dan Diaz Guerrero - For June 16-30, 2025</t>
        </is>
      </c>
      <c r="D151" s="34" t="inlineStr">
        <is>
          <t>315</t>
        </is>
      </c>
      <c r="E151" s="35" t="n">
        <v>6050</v>
      </c>
      <c r="F151" s="18" t="n">
        <v>0</v>
      </c>
      <c r="G151" s="18">
        <f>(E151 - F151)</f>
        <v/>
      </c>
      <c r="H151" s="18" t="n">
        <v>0</v>
      </c>
      <c r="I151" s="19" t="n">
        <v>0</v>
      </c>
      <c r="J151" s="20" t="inlineStr">
        <is>
          <t>GST Free Expenses</t>
        </is>
      </c>
    </row>
    <row r="152" ht="10.5" customHeight="1" s="93">
      <c r="A152" s="33" t="n">
        <v>45931</v>
      </c>
      <c r="B152" s="34" t="inlineStr">
        <is>
          <t>Spend Money</t>
        </is>
      </c>
      <c r="C152" s="34" t="inlineStr">
        <is>
          <t>Dan Diaz Guerrero - For September 16-30, 2025</t>
        </is>
      </c>
      <c r="D152" s="34" t="inlineStr">
        <is>
          <t>315</t>
        </is>
      </c>
      <c r="E152" s="35" t="n">
        <v>5500</v>
      </c>
      <c r="F152" s="18" t="n">
        <v>0</v>
      </c>
      <c r="G152" s="18">
        <f>((G151 + E152) - F152)</f>
        <v/>
      </c>
      <c r="H152" s="18" t="n">
        <v>0</v>
      </c>
      <c r="I152" s="19" t="n">
        <v>0</v>
      </c>
      <c r="J152" s="20" t="inlineStr">
        <is>
          <t>GST Free Expenses</t>
        </is>
      </c>
    </row>
    <row r="153" ht="10.5" customHeight="1" s="93">
      <c r="A153" s="33" t="n">
        <v>46052</v>
      </c>
      <c r="B153" s="34" t="inlineStr">
        <is>
          <t>Spend Money</t>
        </is>
      </c>
      <c r="C153" s="34" t="inlineStr">
        <is>
          <t>Dan Diaz Guerrero - For the Jan 16-31, 2-2026</t>
        </is>
      </c>
      <c r="D153" s="34" t="inlineStr">
        <is>
          <t>315</t>
        </is>
      </c>
      <c r="E153" s="35" t="n">
        <v>5000</v>
      </c>
      <c r="F153" s="18" t="n">
        <v>0</v>
      </c>
      <c r="G153" s="18">
        <f>((G152 + E153) - F153)</f>
        <v/>
      </c>
      <c r="H153" s="18" t="n">
        <v>0</v>
      </c>
      <c r="I153" s="19" t="n">
        <v>0</v>
      </c>
      <c r="J153" s="20" t="inlineStr">
        <is>
          <t>GST Free Expenses</t>
        </is>
      </c>
    </row>
    <row r="154" ht="10.5" customHeight="1" s="93">
      <c r="A154" s="33" t="n">
        <v>46143</v>
      </c>
      <c r="B154" s="34" t="inlineStr">
        <is>
          <t>Spend Money</t>
        </is>
      </c>
      <c r="C154" s="34" t="inlineStr">
        <is>
          <t>Dan Diaz Guerrero - For the month of April 2026</t>
        </is>
      </c>
      <c r="D154" s="34" t="inlineStr">
        <is>
          <t>315</t>
        </is>
      </c>
      <c r="E154" s="35" t="n">
        <v>6000</v>
      </c>
      <c r="F154" s="18" t="n">
        <v>0</v>
      </c>
      <c r="G154" s="18">
        <f>((G153 + E154) - F154)</f>
        <v/>
      </c>
      <c r="H154" s="18" t="n">
        <v>0</v>
      </c>
      <c r="I154" s="19" t="n">
        <v>0</v>
      </c>
      <c r="J154" s="20" t="inlineStr">
        <is>
          <t>GST Free Expenses</t>
        </is>
      </c>
    </row>
    <row r="155" ht="10.5" customHeight="1" s="93">
      <c r="A155" s="33" t="n">
        <v>46024</v>
      </c>
      <c r="B155" s="34" t="inlineStr">
        <is>
          <t>Spend Money</t>
        </is>
      </c>
      <c r="C155" s="34" t="inlineStr">
        <is>
          <t>Dan Diaz Guerrero - For the month of December 16-31, 2025</t>
        </is>
      </c>
      <c r="D155" s="34" t="inlineStr">
        <is>
          <t>315</t>
        </is>
      </c>
      <c r="E155" s="35" t="n">
        <v>5000</v>
      </c>
      <c r="F155" s="18" t="n">
        <v>0</v>
      </c>
      <c r="G155" s="18">
        <f>((G154 + E155) - F155)</f>
        <v/>
      </c>
      <c r="H155" s="18" t="n">
        <v>0</v>
      </c>
      <c r="I155" s="19" t="n">
        <v>0</v>
      </c>
      <c r="J155" s="20" t="inlineStr">
        <is>
          <t>GST Free Expenses</t>
        </is>
      </c>
    </row>
    <row r="156" ht="10.5" customHeight="1" s="93">
      <c r="A156" s="33" t="n">
        <v>46080</v>
      </c>
      <c r="B156" s="34" t="inlineStr">
        <is>
          <t>Spend Money</t>
        </is>
      </c>
      <c r="C156" s="34" t="inlineStr">
        <is>
          <t>Dan Diaz Guerrero - For the month of February 2026</t>
        </is>
      </c>
      <c r="D156" s="34" t="inlineStr">
        <is>
          <t>315</t>
        </is>
      </c>
      <c r="E156" s="35" t="n">
        <v>5000</v>
      </c>
      <c r="F156" s="18" t="n">
        <v>0</v>
      </c>
      <c r="G156" s="18">
        <f>((G155 + E156) - F156)</f>
        <v/>
      </c>
      <c r="H156" s="18" t="n">
        <v>0</v>
      </c>
      <c r="I156" s="19" t="n">
        <v>0</v>
      </c>
      <c r="J156" s="20" t="inlineStr">
        <is>
          <t>GST Free Expenses</t>
        </is>
      </c>
    </row>
    <row r="157" ht="10.5" customHeight="1" s="93">
      <c r="A157" s="33" t="n">
        <v>45870</v>
      </c>
      <c r="B157" s="34" t="inlineStr">
        <is>
          <t>Spend Money</t>
        </is>
      </c>
      <c r="C157" s="34" t="inlineStr">
        <is>
          <t>Dan Diaz Guerrero - For the month of July 16-31</t>
        </is>
      </c>
      <c r="D157" s="34" t="inlineStr">
        <is>
          <t>315</t>
        </is>
      </c>
      <c r="E157" s="35" t="n">
        <v>11050</v>
      </c>
      <c r="F157" s="18" t="n">
        <v>0</v>
      </c>
      <c r="G157" s="18">
        <f>((G156 + E157) - F157)</f>
        <v/>
      </c>
      <c r="H157" s="18" t="n">
        <v>0</v>
      </c>
      <c r="I157" s="19" t="n">
        <v>0</v>
      </c>
      <c r="J157" s="20" t="inlineStr">
        <is>
          <t>GST Free Expenses</t>
        </is>
      </c>
    </row>
    <row r="158" ht="10.5" customHeight="1" s="93">
      <c r="A158" s="33" t="n">
        <v>46108</v>
      </c>
      <c r="B158" s="34" t="inlineStr">
        <is>
          <t>Spend Money</t>
        </is>
      </c>
      <c r="C158" s="34" t="inlineStr">
        <is>
          <t>Dan Diaz Guerrero - For the month of March 2026</t>
        </is>
      </c>
      <c r="D158" s="34" t="inlineStr">
        <is>
          <t>315</t>
        </is>
      </c>
      <c r="E158" s="35" t="n">
        <v>6000</v>
      </c>
      <c r="F158" s="18" t="n">
        <v>0</v>
      </c>
      <c r="G158" s="18">
        <f>((G157 + E158) - F158)</f>
        <v/>
      </c>
      <c r="H158" s="18" t="n">
        <v>0</v>
      </c>
      <c r="I158" s="19" t="n">
        <v>0</v>
      </c>
      <c r="J158" s="20" t="inlineStr">
        <is>
          <t>GST Free Expenses</t>
        </is>
      </c>
    </row>
    <row r="159" ht="10.5" customHeight="1" s="93">
      <c r="A159" s="33" t="n">
        <v>45992</v>
      </c>
      <c r="B159" s="34" t="inlineStr">
        <is>
          <t>Spend Money</t>
        </is>
      </c>
      <c r="C159" s="34" t="inlineStr">
        <is>
          <t>Dan Diaz Guerrero - For the month of November 2025</t>
        </is>
      </c>
      <c r="D159" s="34" t="inlineStr">
        <is>
          <t>315</t>
        </is>
      </c>
      <c r="E159" s="35" t="n">
        <v>5000</v>
      </c>
      <c r="F159" s="18" t="n">
        <v>0</v>
      </c>
      <c r="G159" s="18">
        <f>((G158 + E159) - F159)</f>
        <v/>
      </c>
      <c r="H159" s="18" t="n">
        <v>0</v>
      </c>
      <c r="I159" s="19" t="n">
        <v>0</v>
      </c>
      <c r="J159" s="20" t="inlineStr">
        <is>
          <t>GST Free Expenses</t>
        </is>
      </c>
    </row>
    <row r="160" ht="10.5" customHeight="1" s="93">
      <c r="A160" s="33" t="n">
        <v>45995</v>
      </c>
      <c r="B160" s="34" t="inlineStr">
        <is>
          <t>Spend Money</t>
        </is>
      </c>
      <c r="C160" s="34" t="inlineStr">
        <is>
          <t>Dan Diaz Guerrero - For the month of November 2025 bonus</t>
        </is>
      </c>
      <c r="D160" s="34" t="inlineStr">
        <is>
          <t>315</t>
        </is>
      </c>
      <c r="E160" s="35" t="n">
        <v>4700</v>
      </c>
      <c r="F160" s="18" t="n">
        <v>0</v>
      </c>
      <c r="G160" s="18">
        <f>((G159 + E160) - F160)</f>
        <v/>
      </c>
      <c r="H160" s="18" t="n">
        <v>0</v>
      </c>
      <c r="I160" s="19" t="n">
        <v>0</v>
      </c>
      <c r="J160" s="20" t="inlineStr">
        <is>
          <t>GST Free Expenses</t>
        </is>
      </c>
    </row>
    <row r="161" ht="10.5" customHeight="1" s="93">
      <c r="A161" s="33" t="n">
        <v>45979</v>
      </c>
      <c r="B161" s="34" t="inlineStr">
        <is>
          <t>Spend Money</t>
        </is>
      </c>
      <c r="C161" s="34" t="inlineStr">
        <is>
          <t>Dan Diaz Guerrero - For the month of November 2025- midpay</t>
        </is>
      </c>
      <c r="D161" s="34" t="inlineStr">
        <is>
          <t>315</t>
        </is>
      </c>
      <c r="E161" s="35" t="n">
        <v>5000</v>
      </c>
      <c r="F161" s="18" t="n">
        <v>0</v>
      </c>
      <c r="G161" s="18">
        <f>((G160 + E161) - F161)</f>
        <v/>
      </c>
      <c r="H161" s="18" t="n">
        <v>0</v>
      </c>
      <c r="I161" s="19" t="n">
        <v>0</v>
      </c>
      <c r="J161" s="20" t="inlineStr">
        <is>
          <t>GST Free Expenses</t>
        </is>
      </c>
    </row>
    <row r="162" ht="10.5" customHeight="1" s="93">
      <c r="A162" s="33" t="n">
        <v>45964</v>
      </c>
      <c r="B162" s="34" t="inlineStr">
        <is>
          <t>Spend Money</t>
        </is>
      </c>
      <c r="C162" s="34" t="inlineStr">
        <is>
          <t>Dan Diaz Guerrero - For the month of October</t>
        </is>
      </c>
      <c r="D162" s="34" t="inlineStr">
        <is>
          <t>315</t>
        </is>
      </c>
      <c r="E162" s="35" t="n">
        <v>5050</v>
      </c>
      <c r="F162" s="18" t="n">
        <v>0</v>
      </c>
      <c r="G162" s="18">
        <f>((G161 + E162) - F162)</f>
        <v/>
      </c>
      <c r="H162" s="18" t="n">
        <v>0</v>
      </c>
      <c r="I162" s="19" t="n">
        <v>0</v>
      </c>
      <c r="J162" s="20" t="inlineStr">
        <is>
          <t>GST Free Expenses</t>
        </is>
      </c>
    </row>
    <row r="163" ht="10.5" customHeight="1" s="93">
      <c r="A163" s="33" t="n">
        <v>45959</v>
      </c>
      <c r="B163" s="34" t="inlineStr">
        <is>
          <t>Spend Money</t>
        </is>
      </c>
      <c r="C163" s="34" t="inlineStr">
        <is>
          <t>Dan Diaz Guerrero - For the month of October 2025</t>
        </is>
      </c>
      <c r="D163" s="34" t="inlineStr">
        <is>
          <t>315</t>
        </is>
      </c>
      <c r="E163" s="35" t="n">
        <v>5000</v>
      </c>
      <c r="F163" s="18" t="n">
        <v>0</v>
      </c>
      <c r="G163" s="18">
        <f>((G162 + E163) - F163)</f>
        <v/>
      </c>
      <c r="H163" s="18" t="n">
        <v>0</v>
      </c>
      <c r="I163" s="19" t="n">
        <v>0</v>
      </c>
      <c r="J163" s="20" t="inlineStr">
        <is>
          <t>GST Free Expenses</t>
        </is>
      </c>
    </row>
    <row r="164" ht="10.5" customHeight="1" s="93">
      <c r="A164" s="33" t="n">
        <v>45917</v>
      </c>
      <c r="B164" s="34" t="inlineStr">
        <is>
          <t>Spend Money</t>
        </is>
      </c>
      <c r="C164" s="34" t="inlineStr">
        <is>
          <t>Dan Diaz Guerrero - For the month of September - midpay</t>
        </is>
      </c>
      <c r="D164" s="34" t="inlineStr">
        <is>
          <t>315</t>
        </is>
      </c>
      <c r="E164" s="35" t="n">
        <v>5000</v>
      </c>
      <c r="F164" s="18" t="n">
        <v>0</v>
      </c>
      <c r="G164" s="18">
        <f>((G163 + E164) - F164)</f>
        <v/>
      </c>
      <c r="H164" s="18" t="n">
        <v>0</v>
      </c>
      <c r="I164" s="19" t="n">
        <v>0</v>
      </c>
      <c r="J164" s="20" t="inlineStr">
        <is>
          <t>GST Free Expenses</t>
        </is>
      </c>
    </row>
    <row r="165" ht="10.5" customHeight="1" s="93">
      <c r="A165" s="33" t="n">
        <v>45902</v>
      </c>
      <c r="B165" s="34" t="inlineStr">
        <is>
          <t>Spend Money</t>
        </is>
      </c>
      <c r="C165" s="34" t="inlineStr">
        <is>
          <t>Dan Diaz Guerrero - For the month of September 2025</t>
        </is>
      </c>
      <c r="D165" s="34" t="inlineStr">
        <is>
          <t>315</t>
        </is>
      </c>
      <c r="E165" s="35" t="n">
        <v>5000</v>
      </c>
      <c r="F165" s="18" t="n">
        <v>0</v>
      </c>
      <c r="G165" s="18">
        <f>((G164 + E165) - F165)</f>
        <v/>
      </c>
      <c r="H165" s="18" t="n">
        <v>0</v>
      </c>
      <c r="I165" s="19" t="n">
        <v>0</v>
      </c>
      <c r="J165" s="20" t="inlineStr">
        <is>
          <t>GST Free Expenses</t>
        </is>
      </c>
    </row>
    <row r="166" ht="10.5" customHeight="1" s="93">
      <c r="A166" s="33" t="n">
        <v>46157</v>
      </c>
      <c r="B166" s="34" t="inlineStr">
        <is>
          <t>Spend Money</t>
        </is>
      </c>
      <c r="C166" s="34" t="inlineStr">
        <is>
          <t>Dan Diaz Guerrero - mid month - May 2026</t>
        </is>
      </c>
      <c r="D166" s="34" t="inlineStr">
        <is>
          <t>315</t>
        </is>
      </c>
      <c r="E166" s="35" t="n">
        <v>6000</v>
      </c>
      <c r="F166" s="18" t="n">
        <v>0</v>
      </c>
      <c r="G166" s="18">
        <f>((G165 + E166) - F166)</f>
        <v/>
      </c>
      <c r="H166" s="18" t="n">
        <v>0</v>
      </c>
      <c r="I166" s="19" t="n">
        <v>0</v>
      </c>
      <c r="J166" s="20" t="inlineStr">
        <is>
          <t>GST Free Expenses</t>
        </is>
      </c>
    </row>
    <row r="167" ht="10.5" customHeight="1" s="93">
      <c r="A167" s="33" t="n">
        <v>46127</v>
      </c>
      <c r="B167" s="34" t="inlineStr">
        <is>
          <t>Spend Money</t>
        </is>
      </c>
      <c r="C167" s="34" t="inlineStr">
        <is>
          <t>Dan Diaz Guerrero - mid month pay For the month of April 2026</t>
        </is>
      </c>
      <c r="D167" s="34" t="inlineStr">
        <is>
          <t>315</t>
        </is>
      </c>
      <c r="E167" s="35" t="n">
        <v>6000</v>
      </c>
      <c r="F167" s="18" t="n">
        <v>0</v>
      </c>
      <c r="G167" s="18">
        <f>((G166 + E167) - F167)</f>
        <v/>
      </c>
      <c r="H167" s="18" t="n">
        <v>0</v>
      </c>
      <c r="I167" s="19" t="n">
        <v>0</v>
      </c>
      <c r="J167" s="20" t="inlineStr">
        <is>
          <t>GST Free Expenses</t>
        </is>
      </c>
    </row>
    <row r="168" ht="10.5" customHeight="1" s="93">
      <c r="A168" s="33" t="n">
        <v>46094</v>
      </c>
      <c r="B168" s="34" t="inlineStr">
        <is>
          <t>Spend Money</t>
        </is>
      </c>
      <c r="C168" s="34" t="inlineStr">
        <is>
          <t>Dan Diaz Guerrero - mid month pay -March 2026</t>
        </is>
      </c>
      <c r="D168" s="34" t="inlineStr">
        <is>
          <t>315</t>
        </is>
      </c>
      <c r="E168" s="35" t="n">
        <v>6000</v>
      </c>
      <c r="F168" s="18" t="n">
        <v>0</v>
      </c>
      <c r="G168" s="18">
        <f>((G167 + E168) - F168)</f>
        <v/>
      </c>
      <c r="H168" s="18" t="n">
        <v>0</v>
      </c>
      <c r="I168" s="19" t="n">
        <v>0</v>
      </c>
      <c r="J168" s="20" t="inlineStr">
        <is>
          <t>GST Free Expenses</t>
        </is>
      </c>
    </row>
    <row r="169" ht="10.5" customHeight="1" s="93">
      <c r="A169" s="33" t="n">
        <v>45945</v>
      </c>
      <c r="B169" s="34" t="inlineStr">
        <is>
          <t>Spend Money</t>
        </is>
      </c>
      <c r="C169" s="34" t="inlineStr">
        <is>
          <t>Dan Diaz Guerrero - Midmonth pay - October 2025</t>
        </is>
      </c>
      <c r="D169" s="34" t="inlineStr">
        <is>
          <t>315</t>
        </is>
      </c>
      <c r="E169" s="35" t="n">
        <v>5000</v>
      </c>
      <c r="F169" s="18" t="n">
        <v>0</v>
      </c>
      <c r="G169" s="18">
        <f>((G168 + E169) - F169)</f>
        <v/>
      </c>
      <c r="H169" s="18" t="n">
        <v>0</v>
      </c>
      <c r="I169" s="19" t="n">
        <v>0</v>
      </c>
      <c r="J169" s="20" t="inlineStr">
        <is>
          <t>GST Free Expenses</t>
        </is>
      </c>
    </row>
    <row r="170" ht="10.5" customHeight="1" s="93">
      <c r="A170" s="52" t="n">
        <v>46134</v>
      </c>
      <c r="B170" s="53" t="inlineStr">
        <is>
          <t>Payable Invoice</t>
        </is>
      </c>
      <c r="C170" s="53" t="inlineStr">
        <is>
          <t>No Title Productions Pty Ltd - Luke Hawkins In House Ops Support April 2026</t>
        </is>
      </c>
      <c r="D170" s="53" t="inlineStr">
        <is>
          <t>LH-0007</t>
        </is>
      </c>
      <c r="E170" s="54" t="n">
        <v>1485</v>
      </c>
      <c r="F170" s="18" t="n">
        <v>0</v>
      </c>
      <c r="G170" s="18">
        <f>((G169 + E170) - F170)</f>
        <v/>
      </c>
      <c r="H170" s="18" t="n">
        <v>148.5</v>
      </c>
      <c r="I170" s="19" t="n">
        <v>10</v>
      </c>
      <c r="J170" s="20" t="inlineStr">
        <is>
          <t>GST on Expenses</t>
        </is>
      </c>
      <c r="K170" s="89" t="inlineStr">
        <is>
          <t>ok as company</t>
        </is>
      </c>
    </row>
    <row r="171" ht="10.5" customHeight="1" s="93">
      <c r="A171" s="28" t="inlineStr">
        <is>
          <t>Total Contractors - Operations</t>
        </is>
      </c>
      <c r="B171" s="28" t="n"/>
      <c r="C171" s="28" t="n"/>
      <c r="D171" s="28" t="n"/>
      <c r="E171" s="29">
        <f>SUM(E140:E170)</f>
        <v/>
      </c>
      <c r="F171" s="29">
        <f>SUM(F140:F170)</f>
        <v/>
      </c>
      <c r="G171" s="29">
        <f>G138</f>
        <v/>
      </c>
      <c r="H171" s="29">
        <f>SUM(H140:H170)</f>
        <v/>
      </c>
      <c r="I171" s="28" t="n"/>
      <c r="J171" s="28" t="n"/>
    </row>
    <row r="172" ht="10.5" customHeight="1" s="93">
      <c r="A172" s="28" t="inlineStr">
        <is>
          <t>Net movement</t>
        </is>
      </c>
      <c r="B172" s="28" t="n"/>
      <c r="C172" s="28" t="n"/>
      <c r="D172" s="28" t="n"/>
      <c r="E172" s="29" t="n">
        <v>161536.22</v>
      </c>
      <c r="F172" s="29" t="n">
        <v>0</v>
      </c>
      <c r="G172" s="29" t="n">
        <v>0</v>
      </c>
      <c r="H172" s="29" t="n">
        <v>0</v>
      </c>
      <c r="I172" s="28" t="n"/>
      <c r="J172" s="28" t="n"/>
    </row>
    <row r="173" ht="12.75" customHeight="1" s="93"/>
    <row r="174" ht="12" customHeight="1" s="93">
      <c r="A174" s="8" t="inlineStr">
        <is>
          <t>Contractors - Sales and Administration</t>
        </is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0.5" customHeight="1" s="93">
      <c r="A175" s="56" t="n">
        <v>45999</v>
      </c>
      <c r="B175" s="14" t="inlineStr">
        <is>
          <t>Spend Money</t>
        </is>
      </c>
      <c r="C175" s="14" t="inlineStr">
        <is>
          <t>Aly Michaels Clark - Commission for November 2025</t>
        </is>
      </c>
      <c r="D175" s="14" t="n"/>
      <c r="E175" s="12" t="n">
        <v>91</v>
      </c>
      <c r="F175" s="12" t="n">
        <v>0</v>
      </c>
      <c r="G175" s="12">
        <f>((G174 + E175) - F175)</f>
        <v/>
      </c>
      <c r="H175" s="12" t="n">
        <v>0</v>
      </c>
      <c r="I175" s="13" t="n">
        <v>0</v>
      </c>
      <c r="J175" s="14" t="inlineStr">
        <is>
          <t>BAS Excluded</t>
        </is>
      </c>
    </row>
    <row r="176" ht="10.5" customHeight="1" s="93">
      <c r="A176" s="15" t="n">
        <v>46144</v>
      </c>
      <c r="B176" s="16" t="inlineStr">
        <is>
          <t>Payable Invoice</t>
        </is>
      </c>
      <c r="C176" s="16" t="inlineStr">
        <is>
          <t>Fernando Diaz Guerrero - Contractors fee for April 2026</t>
        </is>
      </c>
      <c r="D176" s="16" t="inlineStr">
        <is>
          <t>for April 2026</t>
        </is>
      </c>
      <c r="E176" s="17" t="n">
        <v>4231.76</v>
      </c>
      <c r="F176" s="18" t="n">
        <v>0</v>
      </c>
      <c r="G176" s="18">
        <f>((G175 + E176) - F176)</f>
        <v/>
      </c>
      <c r="H176" s="18" t="n">
        <v>0</v>
      </c>
      <c r="I176" s="19" t="n">
        <v>0</v>
      </c>
      <c r="J176" s="20" t="inlineStr">
        <is>
          <t>GST Free Expenses</t>
        </is>
      </c>
    </row>
    <row r="177" ht="10.5" customHeight="1" s="93">
      <c r="A177" s="15" t="n">
        <v>46028</v>
      </c>
      <c r="B177" s="16" t="inlineStr">
        <is>
          <t>Payable Invoice</t>
        </is>
      </c>
      <c r="C177" s="16" t="inlineStr">
        <is>
          <t>Fernando Diaz Guerrero - Contractors fee for December 2025</t>
        </is>
      </c>
      <c r="D177" s="16" t="inlineStr">
        <is>
          <t>02</t>
        </is>
      </c>
      <c r="E177" s="17" t="n">
        <v>240</v>
      </c>
      <c r="F177" s="18" t="n">
        <v>0</v>
      </c>
      <c r="G177" s="18">
        <f>((G176 + E177) - F177)</f>
        <v/>
      </c>
      <c r="H177" s="18" t="n">
        <v>0</v>
      </c>
      <c r="I177" s="19" t="n">
        <v>0</v>
      </c>
      <c r="J177" s="20" t="inlineStr">
        <is>
          <t>GST Free Expenses</t>
        </is>
      </c>
    </row>
    <row r="178" ht="10.5" customHeight="1" s="93">
      <c r="A178" s="15" t="n">
        <v>46056</v>
      </c>
      <c r="B178" s="16" t="inlineStr">
        <is>
          <t>Payable Invoice</t>
        </is>
      </c>
      <c r="C178" s="16" t="inlineStr">
        <is>
          <t>Fernando Diaz Guerrero - Contractors fee for February 2026</t>
        </is>
      </c>
      <c r="D178" s="16" t="inlineStr">
        <is>
          <t>03</t>
        </is>
      </c>
      <c r="E178" s="17" t="n">
        <v>3726.79</v>
      </c>
      <c r="F178" s="18" t="n">
        <v>0</v>
      </c>
      <c r="G178" s="18">
        <f>((G177 + E178) - F178)</f>
        <v/>
      </c>
      <c r="H178" s="18" t="n">
        <v>0</v>
      </c>
      <c r="I178" s="19" t="n">
        <v>0</v>
      </c>
      <c r="J178" s="20" t="inlineStr">
        <is>
          <t>GST Free Expenses</t>
        </is>
      </c>
    </row>
    <row r="179" ht="10.5" customHeight="1" s="93">
      <c r="A179" s="15" t="n">
        <v>46083</v>
      </c>
      <c r="B179" s="16" t="inlineStr">
        <is>
          <t>Payable Invoice</t>
        </is>
      </c>
      <c r="C179" s="16" t="inlineStr">
        <is>
          <t>Fernando Diaz Guerrero - Contractors fee for February 2026</t>
        </is>
      </c>
      <c r="D179" s="16" t="inlineStr">
        <is>
          <t>INV-03112025</t>
        </is>
      </c>
      <c r="E179" s="17" t="n">
        <v>3162.23</v>
      </c>
      <c r="F179" s="18" t="n">
        <v>0</v>
      </c>
      <c r="G179" s="18">
        <f>((G178 + E179) - F179)</f>
        <v/>
      </c>
      <c r="H179" s="18" t="n">
        <v>0</v>
      </c>
      <c r="I179" s="19" t="n">
        <v>0</v>
      </c>
      <c r="J179" s="20" t="inlineStr">
        <is>
          <t>GST Free Expenses</t>
        </is>
      </c>
    </row>
    <row r="180" ht="10.5" customHeight="1" s="93">
      <c r="A180" s="15" t="n">
        <v>46113</v>
      </c>
      <c r="B180" s="16" t="inlineStr">
        <is>
          <t>Payable Invoice</t>
        </is>
      </c>
      <c r="C180" s="16" t="inlineStr">
        <is>
          <t>Fernando Diaz Guerrero - Contractors fee for March 2026</t>
        </is>
      </c>
      <c r="D180" s="16" t="inlineStr">
        <is>
          <t>for march 2026</t>
        </is>
      </c>
      <c r="E180" s="17" t="n">
        <v>3261.9</v>
      </c>
      <c r="F180" s="18" t="n">
        <v>0</v>
      </c>
      <c r="G180" s="18">
        <f>((G179 + E180) - F180)</f>
        <v/>
      </c>
      <c r="H180" s="18" t="n">
        <v>0</v>
      </c>
      <c r="I180" s="19" t="n">
        <v>0</v>
      </c>
      <c r="J180" s="20" t="inlineStr">
        <is>
          <t>GST Free Expenses</t>
        </is>
      </c>
    </row>
    <row r="181" ht="10.5" customHeight="1" s="93">
      <c r="A181" s="15" t="n">
        <v>45992</v>
      </c>
      <c r="B181" s="16" t="inlineStr">
        <is>
          <t>Payable Invoice</t>
        </is>
      </c>
      <c r="C181" s="16" t="inlineStr">
        <is>
          <t>Fernando Diaz Guerrero - Contractors fee for November  2025</t>
        </is>
      </c>
      <c r="D181" s="16" t="inlineStr">
        <is>
          <t>01</t>
        </is>
      </c>
      <c r="E181" s="17" t="n">
        <v>1960</v>
      </c>
      <c r="F181" s="18" t="n">
        <v>0</v>
      </c>
      <c r="G181" s="18">
        <f>((G180 + E181) - F181)</f>
        <v/>
      </c>
      <c r="H181" s="18" t="n">
        <v>0</v>
      </c>
      <c r="I181" s="19" t="n">
        <v>0</v>
      </c>
      <c r="J181" s="20" t="inlineStr">
        <is>
          <t>GST Free Expenses</t>
        </is>
      </c>
    </row>
    <row r="182" ht="10.5" customHeight="1" s="93">
      <c r="A182" s="22" t="n">
        <v>45932</v>
      </c>
      <c r="B182" s="23" t="inlineStr">
        <is>
          <t>Spend Money</t>
        </is>
      </c>
      <c r="C182" s="23" t="inlineStr">
        <is>
          <t>Gabriela Fuchs</t>
        </is>
      </c>
      <c r="D182" s="23" t="n"/>
      <c r="E182" s="24" t="n">
        <v>2657.95</v>
      </c>
      <c r="F182" s="18" t="n">
        <v>0</v>
      </c>
      <c r="G182" s="18">
        <f>((G181 + E182) - F182)</f>
        <v/>
      </c>
      <c r="H182" s="18" t="n">
        <v>0</v>
      </c>
      <c r="I182" s="19" t="n">
        <v>0</v>
      </c>
      <c r="J182" s="20" t="inlineStr">
        <is>
          <t>BAS Excluded</t>
        </is>
      </c>
    </row>
    <row r="183" ht="10.5" customHeight="1" s="93">
      <c r="A183" s="22" t="n">
        <v>45905</v>
      </c>
      <c r="B183" s="23" t="inlineStr">
        <is>
          <t>Spend Money</t>
        </is>
      </c>
      <c r="C183" s="23" t="inlineStr">
        <is>
          <t>Gabriela Fuchs - Commission for August 2025</t>
        </is>
      </c>
      <c r="D183" s="23" t="n"/>
      <c r="E183" s="24" t="n">
        <v>4684.55</v>
      </c>
      <c r="F183" s="18" t="n">
        <v>0</v>
      </c>
      <c r="G183" s="18">
        <f>((G182 + E183) - F183)</f>
        <v/>
      </c>
      <c r="H183" s="18" t="n">
        <v>0</v>
      </c>
      <c r="I183" s="19" t="n">
        <v>0</v>
      </c>
      <c r="J183" s="20" t="inlineStr">
        <is>
          <t>BAS Excluded</t>
        </is>
      </c>
    </row>
    <row r="184" ht="10.5" customHeight="1" s="93">
      <c r="A184" s="22" t="n">
        <v>45874</v>
      </c>
      <c r="B184" s="23" t="inlineStr">
        <is>
          <t>Spend Money</t>
        </is>
      </c>
      <c r="C184" s="23" t="inlineStr">
        <is>
          <t>Gabriela Fuchs - Commission for July 2025</t>
        </is>
      </c>
      <c r="D184" s="23" t="n"/>
      <c r="E184" s="24" t="n">
        <v>5234.88</v>
      </c>
      <c r="F184" s="18" t="n">
        <v>0</v>
      </c>
      <c r="G184" s="18">
        <f>((G183 + E184) - F184)</f>
        <v/>
      </c>
      <c r="H184" s="18" t="n">
        <v>0</v>
      </c>
      <c r="I184" s="19" t="n">
        <v>0</v>
      </c>
      <c r="J184" s="20" t="inlineStr">
        <is>
          <t>BAS Excluded</t>
        </is>
      </c>
    </row>
    <row r="185" ht="10.5" customHeight="1" s="93">
      <c r="A185" s="22" t="n">
        <v>45968</v>
      </c>
      <c r="B185" s="23" t="inlineStr">
        <is>
          <t>Spend Money</t>
        </is>
      </c>
      <c r="C185" s="23" t="inlineStr">
        <is>
          <t>Gabriela Fuchs - Commission for September 2025</t>
        </is>
      </c>
      <c r="D185" s="23" t="n"/>
      <c r="E185" s="24" t="n">
        <v>1134.96</v>
      </c>
      <c r="F185" s="18" t="n">
        <v>0</v>
      </c>
      <c r="G185" s="18">
        <f>((G184 + E185) - F185)</f>
        <v/>
      </c>
      <c r="H185" s="18" t="n">
        <v>0</v>
      </c>
      <c r="I185" s="19" t="n">
        <v>0</v>
      </c>
      <c r="J185" s="20" t="inlineStr">
        <is>
          <t>BAS Excluded</t>
        </is>
      </c>
    </row>
    <row r="186" ht="10.5" customHeight="1" s="93">
      <c r="A186" s="22" t="n">
        <v>45846</v>
      </c>
      <c r="B186" s="23" t="inlineStr">
        <is>
          <t>Spend Money</t>
        </is>
      </c>
      <c r="C186" s="23" t="inlineStr">
        <is>
          <t>Gabriela Fuchs - Commission forJune 2025</t>
        </is>
      </c>
      <c r="D186" s="23" t="n"/>
      <c r="E186" s="24" t="n">
        <v>3342.65</v>
      </c>
      <c r="F186" s="18" t="n">
        <v>0</v>
      </c>
      <c r="G186" s="18">
        <f>((G185 + E186) - F186)</f>
        <v/>
      </c>
      <c r="H186" s="18" t="n">
        <v>0</v>
      </c>
      <c r="I186" s="19" t="n">
        <v>0</v>
      </c>
      <c r="J186" s="20" t="inlineStr">
        <is>
          <t>BAS Excluded</t>
        </is>
      </c>
    </row>
    <row r="187" ht="10.5" customHeight="1" s="93">
      <c r="A187" s="57" t="n">
        <v>45993</v>
      </c>
      <c r="B187" s="58" t="inlineStr">
        <is>
          <t>Spend Money</t>
        </is>
      </c>
      <c r="C187" s="58" t="inlineStr">
        <is>
          <t>Hilal Husseyin -  Sales and Administration</t>
        </is>
      </c>
      <c r="D187" s="58" t="inlineStr">
        <is>
          <t>315</t>
        </is>
      </c>
      <c r="E187" s="59" t="n">
        <v>50</v>
      </c>
      <c r="F187" s="18" t="n">
        <v>0</v>
      </c>
      <c r="G187" s="18">
        <f>((G186 + E187) - F187)</f>
        <v/>
      </c>
      <c r="H187" s="18" t="n">
        <v>0</v>
      </c>
      <c r="I187" s="19" t="n">
        <v>0</v>
      </c>
      <c r="J187" s="20" t="inlineStr">
        <is>
          <t>GST Free Expenses</t>
        </is>
      </c>
    </row>
    <row r="188" ht="10.5" customHeight="1" s="93">
      <c r="A188" s="57" t="n">
        <v>45842</v>
      </c>
      <c r="B188" s="58" t="inlineStr">
        <is>
          <t>Spend Money</t>
        </is>
      </c>
      <c r="C188" s="58" t="inlineStr">
        <is>
          <t>Hilal Husseyin - Commission for June 2025</t>
        </is>
      </c>
      <c r="D188" s="58" t="inlineStr">
        <is>
          <t>INV-07042025</t>
        </is>
      </c>
      <c r="E188" s="59" t="n">
        <v>90.91</v>
      </c>
      <c r="F188" s="18" t="n">
        <v>0</v>
      </c>
      <c r="G188" s="18">
        <f>(E188 - F188)</f>
        <v/>
      </c>
      <c r="H188" s="18" t="n">
        <v>9.09</v>
      </c>
      <c r="I188" s="19" t="n">
        <v>10</v>
      </c>
      <c r="J188" s="20" t="inlineStr">
        <is>
          <t>GST on Expenses</t>
        </is>
      </c>
    </row>
    <row r="189" ht="10.5" customHeight="1" s="93">
      <c r="A189" s="57" t="n">
        <v>45872</v>
      </c>
      <c r="B189" s="58" t="inlineStr">
        <is>
          <t>Spend Money</t>
        </is>
      </c>
      <c r="C189" s="58" t="inlineStr">
        <is>
          <t>Hilal Husseyin - Monthly Retainer</t>
        </is>
      </c>
      <c r="D189" s="58" t="inlineStr">
        <is>
          <t>315</t>
        </is>
      </c>
      <c r="E189" s="59" t="n">
        <v>272.73</v>
      </c>
      <c r="F189" s="18" t="n">
        <v>0</v>
      </c>
      <c r="G189" s="18">
        <f>((G188 + E189) - F189)</f>
        <v/>
      </c>
      <c r="H189" s="18" t="n">
        <v>27.27</v>
      </c>
      <c r="I189" s="19" t="n">
        <v>10</v>
      </c>
      <c r="J189" s="20" t="inlineStr">
        <is>
          <t>GST on Expenses</t>
        </is>
      </c>
    </row>
    <row r="190" ht="10.5" customHeight="1" s="93">
      <c r="A190" s="57" t="n">
        <v>45902</v>
      </c>
      <c r="B190" s="58" t="inlineStr">
        <is>
          <t>Spend Money</t>
        </is>
      </c>
      <c r="C190" s="58" t="inlineStr">
        <is>
          <t>Hilal Husseyin - Monthly Retainer</t>
        </is>
      </c>
      <c r="D190" s="58" t="inlineStr">
        <is>
          <t>INV-01092025</t>
        </is>
      </c>
      <c r="E190" s="59" t="n">
        <v>250</v>
      </c>
      <c r="F190" s="18" t="n">
        <v>0</v>
      </c>
      <c r="G190" s="18">
        <f>((G189 + E190) - F190)</f>
        <v/>
      </c>
      <c r="H190" s="18" t="n">
        <v>0</v>
      </c>
      <c r="I190" s="19" t="n">
        <v>0</v>
      </c>
      <c r="J190" s="20" t="inlineStr">
        <is>
          <t>BAS Excluded</t>
        </is>
      </c>
    </row>
    <row r="191" ht="10.5" customHeight="1" s="93">
      <c r="A191" s="57" t="n">
        <v>45964</v>
      </c>
      <c r="B191" s="58" t="inlineStr">
        <is>
          <t>Spend Money</t>
        </is>
      </c>
      <c r="C191" s="58" t="inlineStr">
        <is>
          <t>Hilal Husseyin - Monthly Retainer</t>
        </is>
      </c>
      <c r="D191" s="58" t="inlineStr">
        <is>
          <t>315</t>
        </is>
      </c>
      <c r="E191" s="59" t="n">
        <v>100</v>
      </c>
      <c r="F191" s="18" t="n">
        <v>0</v>
      </c>
      <c r="G191" s="18">
        <f>((G190 + E191) - F191)</f>
        <v/>
      </c>
      <c r="H191" s="18" t="n">
        <v>0</v>
      </c>
      <c r="I191" s="19" t="n">
        <v>0</v>
      </c>
      <c r="J191" s="20" t="inlineStr">
        <is>
          <t>BAS Excluded</t>
        </is>
      </c>
    </row>
    <row r="192" ht="10.5" customHeight="1" s="93">
      <c r="A192" s="57" t="n">
        <v>45932</v>
      </c>
      <c r="B192" s="58" t="inlineStr">
        <is>
          <t>Spend Money</t>
        </is>
      </c>
      <c r="C192" s="58" t="inlineStr">
        <is>
          <t>Hilal Husseyin - Monthly Retainer - September 2025</t>
        </is>
      </c>
      <c r="D192" s="58" t="inlineStr">
        <is>
          <t>315</t>
        </is>
      </c>
      <c r="E192" s="59" t="n">
        <v>90.91</v>
      </c>
      <c r="F192" s="18" t="n">
        <v>0</v>
      </c>
      <c r="G192" s="18">
        <f>((G191 + E192) - F192)</f>
        <v/>
      </c>
      <c r="H192" s="18" t="n">
        <v>9.09</v>
      </c>
      <c r="I192" s="19" t="n">
        <v>10</v>
      </c>
      <c r="J192" s="20" t="inlineStr">
        <is>
          <t>GST on Expenses</t>
        </is>
      </c>
    </row>
    <row r="193" ht="10.5" customHeight="1" s="93">
      <c r="A193" s="15" t="n">
        <v>46092</v>
      </c>
      <c r="B193" s="16" t="inlineStr">
        <is>
          <t>Payable Invoice</t>
        </is>
      </c>
      <c r="C193" s="16" t="inlineStr">
        <is>
          <t>Lisa Cooke - Commission for February 2026</t>
        </is>
      </c>
      <c r="D193" s="16" t="n"/>
      <c r="E193" s="17" t="n">
        <v>5907.22</v>
      </c>
      <c r="F193" s="18" t="n">
        <v>0</v>
      </c>
      <c r="G193" s="18">
        <f>((G192 + E193) - F193)</f>
        <v/>
      </c>
      <c r="H193" s="18" t="n">
        <v>0</v>
      </c>
      <c r="I193" s="19" t="n">
        <v>0</v>
      </c>
      <c r="J193" s="20" t="inlineStr">
        <is>
          <t>GST Free Expenses</t>
        </is>
      </c>
    </row>
    <row r="194" ht="10.5" customHeight="1" s="93">
      <c r="A194" s="15" t="n">
        <v>46057</v>
      </c>
      <c r="B194" s="16" t="inlineStr">
        <is>
          <t>Payable Invoice</t>
        </is>
      </c>
      <c r="C194" s="16" t="inlineStr">
        <is>
          <t>Lisa Cooke - Commission for January 2026</t>
        </is>
      </c>
      <c r="D194" s="16" t="n"/>
      <c r="E194" s="17" t="n">
        <v>8480.01</v>
      </c>
      <c r="F194" s="18" t="n">
        <v>0</v>
      </c>
      <c r="G194" s="18">
        <f>((G193 + E194) - F194)</f>
        <v/>
      </c>
      <c r="H194" s="18" t="n">
        <v>0</v>
      </c>
      <c r="I194" s="19" t="n">
        <v>0</v>
      </c>
      <c r="J194" s="20" t="inlineStr">
        <is>
          <t>BAS Excluded</t>
        </is>
      </c>
    </row>
    <row r="195" ht="10.5" customHeight="1" s="93">
      <c r="A195" s="15" t="n">
        <v>46119</v>
      </c>
      <c r="B195" s="16" t="inlineStr">
        <is>
          <t>Payable Invoice</t>
        </is>
      </c>
      <c r="C195" s="16" t="inlineStr">
        <is>
          <t>Lisa Cooke - Commission for March 2026</t>
        </is>
      </c>
      <c r="D195" s="16" t="n"/>
      <c r="E195" s="17" t="n">
        <v>9295.74</v>
      </c>
      <c r="F195" s="18" t="n">
        <v>0</v>
      </c>
      <c r="G195" s="18">
        <f>((G194 + E195) - F195)</f>
        <v/>
      </c>
      <c r="H195" s="18" t="n">
        <v>0</v>
      </c>
      <c r="I195" s="19" t="n">
        <v>0</v>
      </c>
      <c r="J195" s="20" t="inlineStr">
        <is>
          <t>GST Free Expenses</t>
        </is>
      </c>
    </row>
    <row r="196" ht="10.5" customHeight="1" s="93">
      <c r="A196" s="15" t="n">
        <v>46034</v>
      </c>
      <c r="B196" s="16" t="inlineStr">
        <is>
          <t>Spend Money</t>
        </is>
      </c>
      <c r="C196" s="16" t="inlineStr">
        <is>
          <t>Lisa Cooke - Sales Commission for December 2025</t>
        </is>
      </c>
      <c r="D196" s="16" t="n"/>
      <c r="E196" s="17" t="n">
        <v>278.75</v>
      </c>
      <c r="F196" s="18" t="n">
        <v>0</v>
      </c>
      <c r="G196" s="18">
        <f>((G195 + E196) - F196)</f>
        <v/>
      </c>
      <c r="H196" s="18" t="n">
        <v>0</v>
      </c>
      <c r="I196" s="19" t="n">
        <v>0</v>
      </c>
      <c r="J196" s="20" t="inlineStr">
        <is>
          <t>BAS Excluded</t>
        </is>
      </c>
    </row>
    <row r="197" ht="10.5" customHeight="1" s="93">
      <c r="A197" s="15" t="n">
        <v>45996</v>
      </c>
      <c r="B197" s="16" t="inlineStr">
        <is>
          <t>Spend Money</t>
        </is>
      </c>
      <c r="C197" s="16" t="inlineStr">
        <is>
          <t>Lisa Cooke - Sales Commission for November</t>
        </is>
      </c>
      <c r="D197" s="16" t="n"/>
      <c r="E197" s="17" t="n">
        <v>2944.26</v>
      </c>
      <c r="F197" s="18" t="n">
        <v>0</v>
      </c>
      <c r="G197" s="18">
        <f>((G196 + E197) - F197)</f>
        <v/>
      </c>
      <c r="H197" s="18" t="n">
        <v>0</v>
      </c>
      <c r="I197" s="19" t="n">
        <v>0</v>
      </c>
      <c r="J197" s="20" t="inlineStr">
        <is>
          <t>BAS Excluded</t>
        </is>
      </c>
    </row>
    <row r="198" ht="10.5" customHeight="1" s="93">
      <c r="A198" s="33" t="n">
        <v>46129</v>
      </c>
      <c r="B198" s="34" t="inlineStr">
        <is>
          <t>Spend Money</t>
        </is>
      </c>
      <c r="C198" s="34" t="inlineStr">
        <is>
          <t>Sarah Mcneil - bday bonus</t>
        </is>
      </c>
      <c r="D198" s="34" t="n"/>
      <c r="E198" s="35" t="n">
        <v>100</v>
      </c>
      <c r="F198" s="18" t="n">
        <v>0</v>
      </c>
      <c r="G198" s="18">
        <f>((G197 + E198) - F198)</f>
        <v/>
      </c>
      <c r="H198" s="18" t="n">
        <v>0</v>
      </c>
      <c r="I198" s="19" t="n">
        <v>0</v>
      </c>
      <c r="J198" s="20" t="inlineStr">
        <is>
          <t>GST Free Expenses</t>
        </is>
      </c>
    </row>
    <row r="199" ht="10.5" customHeight="1" s="93">
      <c r="A199" s="33" t="n">
        <v>45909</v>
      </c>
      <c r="B199" s="34" t="inlineStr">
        <is>
          <t>Payable Invoice</t>
        </is>
      </c>
      <c r="C199" s="34" t="inlineStr">
        <is>
          <t>Sarah Mcneil - Commission for August 2025</t>
        </is>
      </c>
      <c r="D199" s="34" t="inlineStr">
        <is>
          <t>Invoice No: 09092025</t>
        </is>
      </c>
      <c r="E199" s="35" t="n">
        <v>2030</v>
      </c>
      <c r="F199" s="18" t="n">
        <v>0</v>
      </c>
      <c r="G199" s="18">
        <f>((G198 + E199) - F199)</f>
        <v/>
      </c>
      <c r="H199" s="18" t="n">
        <v>0</v>
      </c>
      <c r="I199" s="19" t="n">
        <v>0</v>
      </c>
      <c r="J199" s="20" t="inlineStr">
        <is>
          <t>BAS Excluded</t>
        </is>
      </c>
    </row>
    <row r="200" ht="10.5" customHeight="1" s="93">
      <c r="A200" s="33" t="n">
        <v>46028</v>
      </c>
      <c r="B200" s="34" t="inlineStr">
        <is>
          <t>Payable Invoice</t>
        </is>
      </c>
      <c r="C200" s="34" t="inlineStr">
        <is>
          <t>Sarah Mcneil - Commission for December 2025</t>
        </is>
      </c>
      <c r="D200" s="34" t="inlineStr">
        <is>
          <t>05012026</t>
        </is>
      </c>
      <c r="E200" s="35" t="n">
        <v>2469.33</v>
      </c>
      <c r="F200" s="18" t="n">
        <v>0</v>
      </c>
      <c r="G200" s="18">
        <f>((G199 + E200) - F200)</f>
        <v/>
      </c>
      <c r="H200" s="18" t="n">
        <v>0</v>
      </c>
      <c r="I200" s="19" t="n">
        <v>0</v>
      </c>
      <c r="J200" s="20" t="inlineStr">
        <is>
          <t>BAS Excluded</t>
        </is>
      </c>
    </row>
    <row r="201" ht="10.5" customHeight="1" s="93">
      <c r="A201" s="33" t="n">
        <v>46091</v>
      </c>
      <c r="B201" s="34" t="inlineStr">
        <is>
          <t>Payable Invoice</t>
        </is>
      </c>
      <c r="C201" s="34" t="inlineStr">
        <is>
          <t>Sarah Mcneil - Commission for February 2026</t>
        </is>
      </c>
      <c r="D201" s="34" t="inlineStr">
        <is>
          <t>Invoice No:</t>
        </is>
      </c>
      <c r="E201" s="35" t="n">
        <v>3563.29</v>
      </c>
      <c r="F201" s="18" t="n">
        <v>0</v>
      </c>
      <c r="G201" s="18">
        <f>((G200 + E201) - F201)</f>
        <v/>
      </c>
      <c r="H201" s="18" t="n">
        <v>0</v>
      </c>
      <c r="I201" s="19" t="n">
        <v>0</v>
      </c>
      <c r="J201" s="20" t="inlineStr">
        <is>
          <t>GST Free Expenses</t>
        </is>
      </c>
    </row>
    <row r="202" ht="10.5" customHeight="1" s="93">
      <c r="A202" s="33" t="n">
        <v>46059</v>
      </c>
      <c r="B202" s="34" t="inlineStr">
        <is>
          <t>Spend Money</t>
        </is>
      </c>
      <c r="C202" s="34" t="inlineStr">
        <is>
          <t>Sarah Mcneil - Commission for January 2026</t>
        </is>
      </c>
      <c r="D202" s="34" t="n"/>
      <c r="E202" s="35" t="n">
        <v>1633.3</v>
      </c>
      <c r="F202" s="18" t="n">
        <v>0</v>
      </c>
      <c r="G202" s="18">
        <f>((G201 + E202) - F202)</f>
        <v/>
      </c>
      <c r="H202" s="18" t="n">
        <v>0</v>
      </c>
      <c r="I202" s="19" t="n">
        <v>0</v>
      </c>
      <c r="J202" s="20" t="inlineStr">
        <is>
          <t>BAS Excluded</t>
        </is>
      </c>
    </row>
    <row r="203" ht="10.5" customHeight="1" s="93">
      <c r="A203" s="33" t="n">
        <v>46119</v>
      </c>
      <c r="B203" s="34" t="inlineStr">
        <is>
          <t>Payable Invoice</t>
        </is>
      </c>
      <c r="C203" s="34" t="inlineStr">
        <is>
          <t>Sarah Mcneil - Commission for March 2026</t>
        </is>
      </c>
      <c r="D203" s="34" t="inlineStr">
        <is>
          <t>for March 2026</t>
        </is>
      </c>
      <c r="E203" s="35" t="n">
        <v>7560.27</v>
      </c>
      <c r="F203" s="18" t="n">
        <v>0</v>
      </c>
      <c r="G203" s="18">
        <f>((G202 + E203) - F203)</f>
        <v/>
      </c>
      <c r="H203" s="18" t="n">
        <v>0</v>
      </c>
      <c r="I203" s="19" t="n">
        <v>0</v>
      </c>
      <c r="J203" s="20" t="inlineStr">
        <is>
          <t>GST Free Expenses</t>
        </is>
      </c>
    </row>
    <row r="204" ht="10.5" customHeight="1" s="93">
      <c r="A204" s="33" t="n">
        <v>45995</v>
      </c>
      <c r="B204" s="34" t="inlineStr">
        <is>
          <t>Payable Invoice</t>
        </is>
      </c>
      <c r="C204" s="34" t="inlineStr">
        <is>
          <t>Sarah Mcneil - Commission for November  2025</t>
        </is>
      </c>
      <c r="D204" s="34" t="inlineStr">
        <is>
          <t>Invoice No: 03122025</t>
        </is>
      </c>
      <c r="E204" s="35" t="n">
        <v>3725.18</v>
      </c>
      <c r="F204" s="18" t="n">
        <v>0</v>
      </c>
      <c r="G204" s="18">
        <f>((G203 + E204) - F204)</f>
        <v/>
      </c>
      <c r="H204" s="18" t="n">
        <v>0</v>
      </c>
      <c r="I204" s="19" t="n">
        <v>0</v>
      </c>
      <c r="J204" s="20" t="inlineStr">
        <is>
          <t>GST Free Expenses</t>
        </is>
      </c>
    </row>
    <row r="205" ht="10.5" customHeight="1" s="93">
      <c r="A205" s="33" t="n">
        <v>45971</v>
      </c>
      <c r="B205" s="34" t="inlineStr">
        <is>
          <t>Payable Invoice</t>
        </is>
      </c>
      <c r="C205" s="34" t="inlineStr">
        <is>
          <t>Sarah Mcneil - Commission for October 2025</t>
        </is>
      </c>
      <c r="D205" s="34" t="inlineStr">
        <is>
          <t>Invoice No: 10112025</t>
        </is>
      </c>
      <c r="E205" s="35" t="n">
        <v>2827.76</v>
      </c>
      <c r="F205" s="18" t="n">
        <v>0</v>
      </c>
      <c r="G205" s="18">
        <f>((G204 + E205) - F205)</f>
        <v/>
      </c>
      <c r="H205" s="18" t="n">
        <v>0</v>
      </c>
      <c r="I205" s="19" t="n">
        <v>0</v>
      </c>
      <c r="J205" s="20" t="inlineStr">
        <is>
          <t>GST Free Expenses</t>
        </is>
      </c>
    </row>
    <row r="206" ht="10.5" customHeight="1" s="93">
      <c r="A206" s="33" t="n">
        <v>45982</v>
      </c>
      <c r="B206" s="34" t="inlineStr">
        <is>
          <t>Payable Invoice</t>
        </is>
      </c>
      <c r="C206" s="34" t="inlineStr">
        <is>
          <t>Sarah Mcneil - Commission for October 2025</t>
        </is>
      </c>
      <c r="D206" s="34" t="inlineStr">
        <is>
          <t>Invoice No:21112025</t>
        </is>
      </c>
      <c r="E206" s="35" t="n">
        <v>319.88</v>
      </c>
      <c r="F206" s="18" t="n">
        <v>0</v>
      </c>
      <c r="G206" s="18">
        <f>((G205 + E206) - F206)</f>
        <v/>
      </c>
      <c r="H206" s="18" t="n">
        <v>0</v>
      </c>
      <c r="I206" s="19" t="n">
        <v>0</v>
      </c>
      <c r="J206" s="20" t="inlineStr">
        <is>
          <t>GST Free Expenses</t>
        </is>
      </c>
    </row>
    <row r="207" ht="10.5" customHeight="1" s="93">
      <c r="A207" s="33" t="n">
        <v>45932</v>
      </c>
      <c r="B207" s="34" t="inlineStr">
        <is>
          <t>Payable Invoice</t>
        </is>
      </c>
      <c r="C207" s="34" t="inlineStr">
        <is>
          <t>Sarah Mcneil - Commission for September 2025</t>
        </is>
      </c>
      <c r="D207" s="34" t="inlineStr">
        <is>
          <t>Invoice No: 02102025</t>
        </is>
      </c>
      <c r="E207" s="35" t="n">
        <v>855</v>
      </c>
      <c r="F207" s="18" t="n">
        <v>0</v>
      </c>
      <c r="G207" s="18">
        <f>((G206 + E207) - F207)</f>
        <v/>
      </c>
      <c r="H207" s="18" t="n">
        <v>0</v>
      </c>
      <c r="I207" s="19" t="n">
        <v>0</v>
      </c>
      <c r="J207" s="20" t="inlineStr">
        <is>
          <t>GST Free Expenses</t>
        </is>
      </c>
    </row>
    <row r="208" ht="10.5" customHeight="1" s="93">
      <c r="A208" s="39" t="n">
        <v>46129</v>
      </c>
      <c r="B208" s="40" t="inlineStr">
        <is>
          <t>Spend Money</t>
        </is>
      </c>
      <c r="C208" s="40" t="inlineStr">
        <is>
          <t>Sarika Narkhede - bday bonus</t>
        </is>
      </c>
      <c r="D208" s="40" t="n"/>
      <c r="E208" s="41" t="n">
        <v>90.91</v>
      </c>
      <c r="F208" s="18" t="n">
        <v>0</v>
      </c>
      <c r="G208" s="18">
        <f>((G207 + E208) - F208)</f>
        <v/>
      </c>
      <c r="H208" s="18" t="n">
        <v>9.09</v>
      </c>
      <c r="I208" s="19" t="n">
        <v>10</v>
      </c>
      <c r="J208" s="20" t="inlineStr">
        <is>
          <t>GST on Expenses</t>
        </is>
      </c>
    </row>
    <row r="209" ht="10.5" customHeight="1" s="93">
      <c r="A209" s="39" t="n">
        <v>45905</v>
      </c>
      <c r="B209" s="40" t="inlineStr">
        <is>
          <t>Spend Money</t>
        </is>
      </c>
      <c r="C209" s="40" t="inlineStr">
        <is>
          <t>Sarika Narkhede - Commission for August 2025</t>
        </is>
      </c>
      <c r="D209" s="40" t="n"/>
      <c r="E209" s="41" t="n">
        <v>1867.5</v>
      </c>
      <c r="F209" s="18" t="n">
        <v>0</v>
      </c>
      <c r="G209" s="18">
        <f>((G208 + E209) - F209)</f>
        <v/>
      </c>
      <c r="H209" s="18" t="n">
        <v>0</v>
      </c>
      <c r="I209" s="19" t="n">
        <v>0</v>
      </c>
      <c r="J209" s="20" t="inlineStr">
        <is>
          <t>BAS Excluded</t>
        </is>
      </c>
    </row>
    <row r="210" ht="10.5" customHeight="1" s="93">
      <c r="A210" s="39" t="n">
        <v>46024</v>
      </c>
      <c r="B210" s="40" t="inlineStr">
        <is>
          <t>Spend Money</t>
        </is>
      </c>
      <c r="C210" s="40" t="inlineStr">
        <is>
          <t>Sarika Narkhede - Commission for December 2025</t>
        </is>
      </c>
      <c r="D210" s="40" t="n"/>
      <c r="E210" s="41" t="n">
        <v>2000.86</v>
      </c>
      <c r="F210" s="18" t="n">
        <v>0</v>
      </c>
      <c r="G210" s="18">
        <f>((G209 + E210) - F210)</f>
        <v/>
      </c>
      <c r="H210" s="18" t="n">
        <v>0</v>
      </c>
      <c r="I210" s="19" t="n">
        <v>0</v>
      </c>
      <c r="J210" s="20" t="inlineStr">
        <is>
          <t>BAS Excluded</t>
        </is>
      </c>
    </row>
    <row r="211" ht="10.5" customHeight="1" s="93">
      <c r="A211" s="39" t="n">
        <v>46083</v>
      </c>
      <c r="B211" s="40" t="inlineStr">
        <is>
          <t>Spend Money</t>
        </is>
      </c>
      <c r="C211" s="40" t="inlineStr">
        <is>
          <t>Sarika Narkhede - Commission for February 2026</t>
        </is>
      </c>
      <c r="D211" s="40" t="inlineStr">
        <is>
          <t>INV-03032026</t>
        </is>
      </c>
      <c r="E211" s="41" t="n">
        <v>2823.79</v>
      </c>
      <c r="F211" s="18" t="n">
        <v>0</v>
      </c>
      <c r="G211" s="18">
        <f>((G210 + E211) - F211)</f>
        <v/>
      </c>
      <c r="H211" s="18" t="n">
        <v>0</v>
      </c>
      <c r="I211" s="19" t="n">
        <v>0</v>
      </c>
      <c r="J211" s="20" t="inlineStr">
        <is>
          <t>GST Free Expenses</t>
        </is>
      </c>
    </row>
    <row r="212" ht="10.5" customHeight="1" s="93">
      <c r="A212" s="39" t="n">
        <v>46055</v>
      </c>
      <c r="B212" s="40" t="inlineStr">
        <is>
          <t>Spend Money</t>
        </is>
      </c>
      <c r="C212" s="40" t="inlineStr">
        <is>
          <t>Sarika Narkhede - Commission for January 2026</t>
        </is>
      </c>
      <c r="D212" s="40" t="n"/>
      <c r="E212" s="41" t="n">
        <v>2627.62</v>
      </c>
      <c r="F212" s="18" t="n">
        <v>0</v>
      </c>
      <c r="G212" s="18">
        <f>((G211 + E212) - F212)</f>
        <v/>
      </c>
      <c r="H212" s="18" t="n">
        <v>0</v>
      </c>
      <c r="I212" s="19" t="n">
        <v>0</v>
      </c>
      <c r="J212" s="20" t="inlineStr">
        <is>
          <t>GST Free Expenses</t>
        </is>
      </c>
    </row>
    <row r="213" ht="10.5" customHeight="1" s="93">
      <c r="A213" s="39" t="n">
        <v>46113</v>
      </c>
      <c r="B213" s="40" t="inlineStr">
        <is>
          <t>Spend Money</t>
        </is>
      </c>
      <c r="C213" s="40" t="inlineStr">
        <is>
          <t>Sarika Narkhede - Commission for March 2026</t>
        </is>
      </c>
      <c r="D213" s="40" t="n"/>
      <c r="E213" s="41" t="n">
        <v>2456.96</v>
      </c>
      <c r="F213" s="18" t="n">
        <v>0</v>
      </c>
      <c r="G213" s="18">
        <f>((G212 + E213) - F213)</f>
        <v/>
      </c>
      <c r="H213" s="18" t="n">
        <v>0</v>
      </c>
      <c r="I213" s="19" t="n">
        <v>0</v>
      </c>
      <c r="J213" s="20" t="inlineStr">
        <is>
          <t>GST Free Expenses</t>
        </is>
      </c>
    </row>
    <row r="214" ht="10.5" customHeight="1" s="93">
      <c r="A214" s="39" t="n">
        <v>45995</v>
      </c>
      <c r="B214" s="40" t="inlineStr">
        <is>
          <t>Spend Money</t>
        </is>
      </c>
      <c r="C214" s="40" t="inlineStr">
        <is>
          <t>Sarika Narkhede - Commission for November 2025</t>
        </is>
      </c>
      <c r="D214" s="40" t="n"/>
      <c r="E214" s="41" t="n">
        <v>3038.05</v>
      </c>
      <c r="F214" s="18" t="n">
        <v>0</v>
      </c>
      <c r="G214" s="18">
        <f>((G213 + E214) - F214)</f>
        <v/>
      </c>
      <c r="H214" s="18" t="n">
        <v>0</v>
      </c>
      <c r="I214" s="19" t="n">
        <v>0</v>
      </c>
      <c r="J214" s="20" t="inlineStr">
        <is>
          <t>BAS Excluded</t>
        </is>
      </c>
    </row>
    <row r="215" ht="10.5" customHeight="1" s="93">
      <c r="A215" s="39" t="n">
        <v>45965</v>
      </c>
      <c r="B215" s="40" t="inlineStr">
        <is>
          <t>Spend Money</t>
        </is>
      </c>
      <c r="C215" s="40" t="inlineStr">
        <is>
          <t>Sarika Narkhede - Commission for October 2025</t>
        </is>
      </c>
      <c r="D215" s="40" t="n"/>
      <c r="E215" s="41" t="n">
        <v>3478.8</v>
      </c>
      <c r="F215" s="18" t="n">
        <v>0</v>
      </c>
      <c r="G215" s="18">
        <f>((G214 + E215) - F215)</f>
        <v/>
      </c>
      <c r="H215" s="18" t="n">
        <v>0</v>
      </c>
      <c r="I215" s="19" t="n">
        <v>0</v>
      </c>
      <c r="J215" s="20" t="inlineStr">
        <is>
          <t>BAS Excluded</t>
        </is>
      </c>
    </row>
    <row r="216" ht="10.5" customHeight="1" s="93">
      <c r="A216" s="39" t="n">
        <v>45932</v>
      </c>
      <c r="B216" s="40" t="inlineStr">
        <is>
          <t>Spend Money</t>
        </is>
      </c>
      <c r="C216" s="40" t="inlineStr">
        <is>
          <t>Sarika Narkhede - Commission for September 2025</t>
        </is>
      </c>
      <c r="D216" s="40" t="inlineStr">
        <is>
          <t>Commission for September 2025</t>
        </is>
      </c>
      <c r="E216" s="41" t="n">
        <v>2552.3</v>
      </c>
      <c r="F216" s="18" t="n">
        <v>0</v>
      </c>
      <c r="G216" s="18">
        <f>((G215 + E216) - F216)</f>
        <v/>
      </c>
      <c r="H216" s="18" t="n">
        <v>0</v>
      </c>
      <c r="I216" s="19" t="n">
        <v>0</v>
      </c>
      <c r="J216" s="20" t="inlineStr">
        <is>
          <t>GST Free Expenses</t>
        </is>
      </c>
    </row>
    <row r="217" ht="10.5" customHeight="1" s="93">
      <c r="A217" s="28" t="inlineStr">
        <is>
          <t>Total Contractors - Sales and Administration</t>
        </is>
      </c>
      <c r="B217" s="28" t="n"/>
      <c r="C217" s="28" t="n"/>
      <c r="D217" s="28" t="n"/>
      <c r="E217" s="29">
        <f>SUM(E175:E216)</f>
        <v/>
      </c>
      <c r="F217" s="29">
        <f>SUM(F175:F216)</f>
        <v/>
      </c>
      <c r="G217" s="29">
        <f>G216</f>
        <v/>
      </c>
      <c r="H217" s="29">
        <f>SUM(H175:H216)</f>
        <v/>
      </c>
      <c r="I217" s="28" t="n"/>
      <c r="J217" s="28" t="n"/>
    </row>
    <row r="218" ht="10.5" customHeight="1" s="93">
      <c r="A218" s="28" t="inlineStr">
        <is>
          <t>Net movement</t>
        </is>
      </c>
      <c r="B218" s="28" t="n"/>
      <c r="C218" s="28" t="n"/>
      <c r="D218" s="28" t="n"/>
      <c r="E218" s="29" t="n">
        <v>107510</v>
      </c>
      <c r="F218" s="29" t="n">
        <v>0</v>
      </c>
      <c r="G218" s="29" t="n">
        <v>0</v>
      </c>
      <c r="H218" s="29" t="n">
        <v>0</v>
      </c>
      <c r="I218" s="28" t="n"/>
      <c r="J218" s="28" t="n"/>
    </row>
    <row r="219" ht="12.75" customHeight="1" s="93"/>
    <row r="220" ht="10.5" customHeight="1" s="93">
      <c r="A220" s="42" t="inlineStr">
        <is>
          <t>Contractors - Virtual Assistant</t>
        </is>
      </c>
      <c r="B220" s="42" t="n"/>
      <c r="C220" s="42" t="n"/>
      <c r="D220" s="42" t="n"/>
      <c r="E220" s="42" t="n"/>
      <c r="F220" s="18" t="n">
        <v>0</v>
      </c>
      <c r="G220" s="18">
        <f>((G298 + E220) - F220)</f>
        <v/>
      </c>
      <c r="H220" s="18" t="n">
        <v>0</v>
      </c>
      <c r="I220" s="19" t="n">
        <v>0</v>
      </c>
      <c r="J220" s="20" t="inlineStr">
        <is>
          <t>GST Free Expenses</t>
        </is>
      </c>
    </row>
    <row r="221" ht="12" customHeight="1" s="93">
      <c r="A221" s="60" t="n">
        <v>46099</v>
      </c>
      <c r="B221" s="61" t="inlineStr">
        <is>
          <t>Spend Money</t>
        </is>
      </c>
      <c r="C221" s="61" t="inlineStr">
        <is>
          <t>Charmine Longakit - 	Virtual Assistance - admin</t>
        </is>
      </c>
      <c r="D221" s="61" t="inlineStr">
        <is>
          <t>315</t>
        </is>
      </c>
      <c r="E221" s="62" t="n">
        <v>857.55</v>
      </c>
      <c r="F221" s="8" t="n"/>
      <c r="G221" s="8" t="n"/>
      <c r="H221" s="8" t="n"/>
      <c r="I221" s="8" t="n"/>
      <c r="J221" s="8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0.5" customHeight="1" s="93">
      <c r="A222" s="63" t="n">
        <v>45887</v>
      </c>
      <c r="B222" s="64" t="inlineStr">
        <is>
          <t>Payable Invoice</t>
        </is>
      </c>
      <c r="C222" s="64" t="inlineStr">
        <is>
          <t>Charmine Longakit - Contractors fee for August 1-15, 2025</t>
        </is>
      </c>
      <c r="D222" s="64" t="inlineStr">
        <is>
          <t>58</t>
        </is>
      </c>
      <c r="E222" s="65" t="n">
        <v>1051.82</v>
      </c>
      <c r="F222" s="12" t="n">
        <v>0</v>
      </c>
      <c r="G222" s="12">
        <f>(E222 - F222)</f>
        <v/>
      </c>
      <c r="H222" s="12" t="n">
        <v>0</v>
      </c>
      <c r="I222" s="13" t="n">
        <v>0</v>
      </c>
      <c r="J222" s="14" t="inlineStr">
        <is>
          <t>BAS Excluded</t>
        </is>
      </c>
    </row>
    <row r="223" ht="31.5" customHeight="1" s="93">
      <c r="A223" s="66" t="n">
        <v>45901</v>
      </c>
      <c r="B223" s="67" t="inlineStr">
        <is>
          <t>Payable Invoice</t>
        </is>
      </c>
      <c r="C223" s="67" t="inlineStr">
        <is>
          <t>Charmine Longakit - Contractors fee for August 16-31, 2025</t>
        </is>
      </c>
      <c r="D223" s="67" t="inlineStr">
        <is>
          <t>59</t>
        </is>
      </c>
      <c r="E223" s="68" t="n">
        <v>558.8200000000001</v>
      </c>
      <c r="F223" s="18" t="n">
        <v>0</v>
      </c>
      <c r="G223" s="18">
        <f>((G222 + E223) - F223)</f>
        <v/>
      </c>
      <c r="H223" s="18" t="n">
        <v>0</v>
      </c>
      <c r="I223" s="19" t="n">
        <v>0</v>
      </c>
      <c r="J223" s="20" t="inlineStr">
        <is>
          <t>GST Free Expenses</t>
        </is>
      </c>
    </row>
    <row r="224" ht="10.5" customHeight="1" s="93">
      <c r="A224" s="66" t="n">
        <v>45839</v>
      </c>
      <c r="B224" s="67" t="inlineStr">
        <is>
          <t>Payable Invoice</t>
        </is>
      </c>
      <c r="C224" s="67" t="inlineStr">
        <is>
          <t>Charmine Longakit - Contractors fee for July 1-14, 2025</t>
        </is>
      </c>
      <c r="D224" s="67" t="inlineStr">
        <is>
          <t>56</t>
        </is>
      </c>
      <c r="E224" s="68" t="n">
        <v>1352.84</v>
      </c>
      <c r="F224" s="18" t="n">
        <v>0</v>
      </c>
      <c r="G224" s="18">
        <f>((G223 + E224) - F224)</f>
        <v/>
      </c>
      <c r="H224" s="18" t="n">
        <v>0</v>
      </c>
      <c r="I224" s="19" t="n">
        <v>0</v>
      </c>
      <c r="J224" s="20" t="inlineStr">
        <is>
          <t>GST Free Expenses</t>
        </is>
      </c>
    </row>
    <row r="225" ht="10.5" customHeight="1" s="93">
      <c r="A225" s="66" t="n">
        <v>45870</v>
      </c>
      <c r="B225" s="67" t="inlineStr">
        <is>
          <t>Payable Invoice</t>
        </is>
      </c>
      <c r="C225" s="67" t="inlineStr">
        <is>
          <t>Charmine Longakit - Contractors fee for July 15-31, 2025</t>
        </is>
      </c>
      <c r="D225" s="67" t="inlineStr">
        <is>
          <t>57</t>
        </is>
      </c>
      <c r="E225" s="68" t="n">
        <v>1731.48</v>
      </c>
      <c r="F225" s="18" t="n">
        <v>0</v>
      </c>
      <c r="G225" s="18">
        <f>((G224 + E225) - F225)</f>
        <v/>
      </c>
      <c r="H225" s="18" t="n">
        <v>0</v>
      </c>
      <c r="I225" s="19" t="n">
        <v>0</v>
      </c>
      <c r="J225" s="20" t="inlineStr">
        <is>
          <t>GST Free Expenses</t>
        </is>
      </c>
    </row>
    <row r="226" ht="10.5" customHeight="1" s="93">
      <c r="A226" s="66" t="n">
        <v>45839</v>
      </c>
      <c r="B226" s="67" t="inlineStr">
        <is>
          <t>Payable Invoice</t>
        </is>
      </c>
      <c r="C226" s="67" t="inlineStr">
        <is>
          <t>Charmine Longakit - Contractors fee for June 16-30, 2025</t>
        </is>
      </c>
      <c r="D226" s="67" t="inlineStr">
        <is>
          <t>55</t>
        </is>
      </c>
      <c r="E226" s="68" t="n">
        <v>950.15</v>
      </c>
      <c r="F226" s="18" t="n">
        <v>0</v>
      </c>
      <c r="G226" s="18">
        <f>((G225 + E226) - F226)</f>
        <v/>
      </c>
      <c r="H226" s="18" t="n">
        <v>0</v>
      </c>
      <c r="I226" s="19" t="n">
        <v>0</v>
      </c>
      <c r="J226" s="20" t="inlineStr">
        <is>
          <t>GST Free Expenses</t>
        </is>
      </c>
    </row>
    <row r="227" ht="10.5" customHeight="1" s="93">
      <c r="A227" s="66" t="n">
        <v>45992</v>
      </c>
      <c r="B227" s="67" t="inlineStr">
        <is>
          <t>Payable Invoice</t>
        </is>
      </c>
      <c r="C227" s="67" t="inlineStr">
        <is>
          <t>Charmine Longakit - Contractors fee for November 14-30,, 2025</t>
        </is>
      </c>
      <c r="D227" s="67" t="inlineStr">
        <is>
          <t>65</t>
        </is>
      </c>
      <c r="E227" s="68" t="n">
        <v>1577.39</v>
      </c>
      <c r="F227" s="18" t="n">
        <v>0</v>
      </c>
      <c r="G227" s="18">
        <f>((G226 + E227) - F227)</f>
        <v/>
      </c>
      <c r="H227" s="18" t="n">
        <v>0</v>
      </c>
      <c r="I227" s="19" t="n">
        <v>0</v>
      </c>
      <c r="J227" s="20" t="inlineStr">
        <is>
          <t>GST Free Expenses</t>
        </is>
      </c>
    </row>
    <row r="228" ht="10.5" customHeight="1" s="93">
      <c r="A228" s="66" t="n">
        <v>45946</v>
      </c>
      <c r="B228" s="67" t="inlineStr">
        <is>
          <t>Payable Invoice</t>
        </is>
      </c>
      <c r="C228" s="67" t="inlineStr">
        <is>
          <t>Charmine Longakit - Contractors fee for October 1-15, 2025</t>
        </is>
      </c>
      <c r="D228" s="67" t="inlineStr">
        <is>
          <t>62</t>
        </is>
      </c>
      <c r="E228" s="68" t="n">
        <v>982.97</v>
      </c>
      <c r="F228" s="18" t="n">
        <v>0</v>
      </c>
      <c r="G228" s="18">
        <f>((G227 + E228) - F228)</f>
        <v/>
      </c>
      <c r="H228" s="18" t="n">
        <v>0</v>
      </c>
      <c r="I228" s="19" t="n">
        <v>0</v>
      </c>
      <c r="J228" s="20" t="inlineStr">
        <is>
          <t>GST Free Expenses</t>
        </is>
      </c>
    </row>
    <row r="229" ht="10.5" customHeight="1" s="93">
      <c r="A229" s="66" t="n">
        <v>45960</v>
      </c>
      <c r="B229" s="67" t="inlineStr">
        <is>
          <t>Payable Invoice</t>
        </is>
      </c>
      <c r="C229" s="67" t="inlineStr">
        <is>
          <t>Charmine Longakit - Contractors fee for October 16-29, 2025</t>
        </is>
      </c>
      <c r="D229" s="67" t="inlineStr">
        <is>
          <t>62</t>
        </is>
      </c>
      <c r="E229" s="68" t="n">
        <v>1404.28</v>
      </c>
      <c r="F229" s="18" t="n">
        <v>0</v>
      </c>
      <c r="G229" s="18">
        <f>((G228 + E229) - F229)</f>
        <v/>
      </c>
      <c r="H229" s="18" t="n">
        <v>0</v>
      </c>
      <c r="I229" s="19" t="n">
        <v>0</v>
      </c>
      <c r="J229" s="20" t="inlineStr">
        <is>
          <t>GST Free Expenses</t>
        </is>
      </c>
    </row>
    <row r="230" ht="10.5" customHeight="1" s="93">
      <c r="A230" s="66" t="n">
        <v>45931</v>
      </c>
      <c r="B230" s="67" t="inlineStr">
        <is>
          <t>Payable Invoice</t>
        </is>
      </c>
      <c r="C230" s="67" t="inlineStr">
        <is>
          <t>Charmine Longakit - Contractors fee for September 21-30, 2025</t>
        </is>
      </c>
      <c r="D230" s="67" t="inlineStr">
        <is>
          <t>61</t>
        </is>
      </c>
      <c r="E230" s="68" t="n">
        <v>683.25</v>
      </c>
      <c r="F230" s="18" t="n">
        <v>0</v>
      </c>
      <c r="G230" s="18">
        <f>((G229 + E230) - F230)</f>
        <v/>
      </c>
      <c r="H230" s="18" t="n">
        <v>0</v>
      </c>
      <c r="I230" s="19" t="n">
        <v>0</v>
      </c>
      <c r="J230" s="20" t="inlineStr">
        <is>
          <t>GST Free Expenses</t>
        </is>
      </c>
    </row>
    <row r="231" ht="31.5" customHeight="1" s="93">
      <c r="A231" s="66" t="n">
        <v>46055</v>
      </c>
      <c r="B231" s="67" t="inlineStr">
        <is>
          <t>Spend Money</t>
        </is>
      </c>
      <c r="C231" s="67" t="inlineStr">
        <is>
          <t>Charmine Longakit - Virtual Assistance - admin</t>
        </is>
      </c>
      <c r="D231" s="67" t="inlineStr">
        <is>
          <t>315</t>
        </is>
      </c>
      <c r="E231" s="68" t="n">
        <v>875.3099999999999</v>
      </c>
      <c r="F231" s="18" t="n">
        <v>0</v>
      </c>
      <c r="G231" s="18">
        <f>((G230 + E231) - F231)</f>
        <v/>
      </c>
      <c r="H231" s="18" t="n">
        <v>0</v>
      </c>
      <c r="I231" s="19" t="n">
        <v>0</v>
      </c>
      <c r="J231" s="20" t="inlineStr">
        <is>
          <t>GST Free Expenses</t>
        </is>
      </c>
    </row>
    <row r="232" ht="10.5" customHeight="1" s="93">
      <c r="A232" s="66" t="n">
        <v>46070</v>
      </c>
      <c r="B232" s="67" t="inlineStr">
        <is>
          <t>Spend Money</t>
        </is>
      </c>
      <c r="C232" s="67" t="inlineStr">
        <is>
          <t>Charmine Longakit - Virtual Assistance - admin</t>
        </is>
      </c>
      <c r="D232" s="67" t="inlineStr">
        <is>
          <t>315</t>
        </is>
      </c>
      <c r="E232" s="68" t="n">
        <v>1117.82</v>
      </c>
      <c r="F232" s="18" t="n">
        <v>0</v>
      </c>
      <c r="G232" s="18">
        <f>((G231 + E232) - F232)</f>
        <v/>
      </c>
      <c r="H232" s="18" t="n">
        <v>0</v>
      </c>
      <c r="I232" s="19" t="n">
        <v>0</v>
      </c>
      <c r="J232" s="20" t="inlineStr">
        <is>
          <t>GST Free Expenses</t>
        </is>
      </c>
    </row>
    <row r="233" ht="10.5" customHeight="1" s="93">
      <c r="A233" s="66" t="n">
        <v>46085</v>
      </c>
      <c r="B233" s="67" t="inlineStr">
        <is>
          <t>Spend Money</t>
        </is>
      </c>
      <c r="C233" s="67" t="inlineStr">
        <is>
          <t>Charmine Longakit - Virtual Assistance - admin</t>
        </is>
      </c>
      <c r="D233" s="67" t="inlineStr">
        <is>
          <t>315</t>
        </is>
      </c>
      <c r="E233" s="68" t="n">
        <v>889.49</v>
      </c>
      <c r="F233" s="18" t="n">
        <v>0</v>
      </c>
      <c r="G233" s="18">
        <f>((G232 + E233) - F233)</f>
        <v/>
      </c>
      <c r="H233" s="18" t="n">
        <v>0</v>
      </c>
      <c r="I233" s="19" t="n">
        <v>0</v>
      </c>
      <c r="J233" s="20" t="inlineStr">
        <is>
          <t>GST Free Expenses</t>
        </is>
      </c>
    </row>
    <row r="234" ht="10.5" customHeight="1" s="93">
      <c r="A234" s="66" t="n">
        <v>46040</v>
      </c>
      <c r="B234" s="67" t="inlineStr">
        <is>
          <t>Spend Money</t>
        </is>
      </c>
      <c r="C234" s="67" t="inlineStr">
        <is>
          <t>Charmine Longakit - Virtual Assistance - admin mid pay January 2026</t>
        </is>
      </c>
      <c r="D234" s="67" t="inlineStr">
        <is>
          <t>315</t>
        </is>
      </c>
      <c r="E234" s="68" t="n">
        <v>791.6900000000001</v>
      </c>
      <c r="F234" s="18" t="n">
        <v>0</v>
      </c>
      <c r="G234" s="18">
        <f>((G233 + E234) - F234)</f>
        <v/>
      </c>
      <c r="H234" s="18" t="n">
        <v>0</v>
      </c>
      <c r="I234" s="19" t="n">
        <v>0</v>
      </c>
      <c r="J234" s="20" t="inlineStr">
        <is>
          <t>GST Free Expenses</t>
        </is>
      </c>
    </row>
    <row r="235" ht="10.5" customHeight="1" s="93">
      <c r="A235" s="66" t="n">
        <v>45979</v>
      </c>
      <c r="B235" s="67" t="inlineStr">
        <is>
          <t>Spend Money</t>
        </is>
      </c>
      <c r="C235" s="67" t="inlineStr">
        <is>
          <t>Charmine Longakit - Virtual Assistance - admin Nov 1-13, 2025</t>
        </is>
      </c>
      <c r="D235" s="67" t="inlineStr">
        <is>
          <t>315</t>
        </is>
      </c>
      <c r="E235" s="68" t="n">
        <v>1178.67</v>
      </c>
      <c r="F235" s="18" t="n">
        <v>0</v>
      </c>
      <c r="G235" s="18">
        <f>((G234 + E235) - F235)</f>
        <v/>
      </c>
      <c r="H235" s="18" t="n">
        <v>0</v>
      </c>
      <c r="I235" s="19" t="n">
        <v>0</v>
      </c>
      <c r="J235" s="20" t="inlineStr">
        <is>
          <t>GST Free Expenses</t>
        </is>
      </c>
    </row>
    <row r="236" ht="31.5" customHeight="1" s="93">
      <c r="A236" s="66" t="n">
        <v>45922</v>
      </c>
      <c r="B236" s="67" t="inlineStr">
        <is>
          <t>Spend Money</t>
        </is>
      </c>
      <c r="C236" s="67" t="inlineStr">
        <is>
          <t>Charmine Longakit - Virtual Assistance - admin Sep 1-20, 2025</t>
        </is>
      </c>
      <c r="D236" s="67" t="inlineStr">
        <is>
          <t>315</t>
        </is>
      </c>
      <c r="E236" s="68" t="n">
        <v>835.67</v>
      </c>
      <c r="F236" s="18" t="n">
        <v>0</v>
      </c>
      <c r="G236" s="18">
        <f>((G235 + E236) - F236)</f>
        <v/>
      </c>
      <c r="H236" s="18" t="n">
        <v>0</v>
      </c>
      <c r="I236" s="19" t="n">
        <v>0</v>
      </c>
      <c r="J236" s="20" t="inlineStr">
        <is>
          <t>GST Free Expenses</t>
        </is>
      </c>
    </row>
    <row r="237" ht="10.5" customHeight="1" s="93">
      <c r="A237" s="66" t="n">
        <v>46024</v>
      </c>
      <c r="B237" s="67" t="inlineStr">
        <is>
          <t>Payable Invoice</t>
        </is>
      </c>
      <c r="C237" s="69" t="inlineStr">
        <is>
          <t>Charmine Longakit - Virtual Assistance 1 A$897.04 A$897.04
December 1-31, 2025
59:49 hours for US$10/hr</t>
        </is>
      </c>
      <c r="D237" s="67" t="inlineStr">
        <is>
          <t>66</t>
        </is>
      </c>
      <c r="E237" s="68" t="n">
        <v>897.04</v>
      </c>
      <c r="F237" s="18" t="n">
        <v>0</v>
      </c>
      <c r="G237" s="18">
        <f>((G236 + E237) - F237)</f>
        <v/>
      </c>
      <c r="H237" s="18" t="n">
        <v>0</v>
      </c>
      <c r="I237" s="19" t="n">
        <v>0</v>
      </c>
      <c r="J237" s="20" t="inlineStr">
        <is>
          <t>GST Free Expenses</t>
        </is>
      </c>
    </row>
    <row r="238" ht="10.5" customHeight="1" s="93">
      <c r="A238" s="33" t="n">
        <v>45954</v>
      </c>
      <c r="B238" s="34" t="inlineStr">
        <is>
          <t>Spend Money</t>
        </is>
      </c>
      <c r="C238" s="34" t="inlineStr">
        <is>
          <t>Kate L. Angulo - anniversary bonus</t>
        </is>
      </c>
      <c r="D238" s="34" t="inlineStr">
        <is>
          <t>315</t>
        </is>
      </c>
      <c r="E238" s="35" t="n">
        <v>200</v>
      </c>
      <c r="F238" s="18" t="n">
        <v>0</v>
      </c>
      <c r="G238" s="18">
        <f>((G237 + E238) - F238)</f>
        <v/>
      </c>
      <c r="H238" s="18" t="n">
        <v>0</v>
      </c>
      <c r="I238" s="19" t="n">
        <v>0</v>
      </c>
      <c r="J238" s="20" t="inlineStr">
        <is>
          <t>GST Free Expenses</t>
        </is>
      </c>
    </row>
    <row r="239" ht="21" customHeight="1" s="93">
      <c r="A239" s="33" t="n">
        <v>45846</v>
      </c>
      <c r="B239" s="34" t="inlineStr">
        <is>
          <t>Payable Invoice</t>
        </is>
      </c>
      <c r="C239" s="34" t="inlineStr">
        <is>
          <t>Kate L. Angulo - Bonus</t>
        </is>
      </c>
      <c r="D239" s="34" t="inlineStr">
        <is>
          <t xml:space="preserve">Cash Advance </t>
        </is>
      </c>
      <c r="E239" s="35" t="n">
        <v>200</v>
      </c>
      <c r="F239" s="18" t="n">
        <v>0</v>
      </c>
      <c r="G239" s="18">
        <f>((G238 + E239) - F239)</f>
        <v/>
      </c>
      <c r="H239" s="18" t="n">
        <v>0</v>
      </c>
      <c r="I239" s="19" t="n">
        <v>0</v>
      </c>
      <c r="J239" s="20" t="inlineStr">
        <is>
          <t>GST Free Expenses</t>
        </is>
      </c>
    </row>
    <row r="240" ht="10.5" customHeight="1" s="93">
      <c r="A240" s="33" t="n">
        <v>46083</v>
      </c>
      <c r="B240" s="34" t="inlineStr">
        <is>
          <t>Spend Money</t>
        </is>
      </c>
      <c r="C240" s="34" t="inlineStr">
        <is>
          <t>Kate L. Angulo - bonus</t>
        </is>
      </c>
      <c r="D240" s="34" t="n"/>
      <c r="E240" s="35" t="n">
        <v>150</v>
      </c>
      <c r="F240" s="18" t="n">
        <v>0</v>
      </c>
      <c r="G240" s="18">
        <f>((G239 + E240) - F240)</f>
        <v/>
      </c>
      <c r="H240" s="18" t="n">
        <v>0</v>
      </c>
      <c r="I240" s="19" t="n">
        <v>0</v>
      </c>
      <c r="J240" s="20" t="inlineStr">
        <is>
          <t>GST Free Expenses</t>
        </is>
      </c>
    </row>
    <row r="241" ht="31.5" customHeight="1" s="93">
      <c r="A241" s="33" t="n">
        <v>46007</v>
      </c>
      <c r="B241" s="34" t="inlineStr">
        <is>
          <t>Spend Money</t>
        </is>
      </c>
      <c r="C241" s="34" t="inlineStr">
        <is>
          <t>Kate L. Angulo - Christmas bonus</t>
        </is>
      </c>
      <c r="D241" s="34" t="inlineStr">
        <is>
          <t>315</t>
        </is>
      </c>
      <c r="E241" s="35" t="n">
        <v>350</v>
      </c>
      <c r="F241" s="18" t="n">
        <v>0</v>
      </c>
      <c r="G241" s="18">
        <f>((G240 + E241) - F241)</f>
        <v/>
      </c>
      <c r="H241" s="18" t="n">
        <v>0</v>
      </c>
      <c r="I241" s="19" t="n">
        <v>0</v>
      </c>
      <c r="J241" s="20" t="inlineStr">
        <is>
          <t>GST Free Expenses</t>
        </is>
      </c>
    </row>
    <row r="242" ht="10.5" customHeight="1" s="93">
      <c r="A242" s="33" t="n">
        <v>45870</v>
      </c>
      <c r="B242" s="34" t="inlineStr">
        <is>
          <t>Spend Money</t>
        </is>
      </c>
      <c r="C242" s="34" t="inlineStr">
        <is>
          <t>Kate L. Angulo - Contractor's fee</t>
        </is>
      </c>
      <c r="D242" s="34" t="inlineStr">
        <is>
          <t>315</t>
        </is>
      </c>
      <c r="E242" s="35" t="n">
        <v>1187.76</v>
      </c>
      <c r="F242" s="18" t="n">
        <v>0</v>
      </c>
      <c r="G242" s="18">
        <f>((G241 + E242) - F242)</f>
        <v/>
      </c>
      <c r="H242" s="18" t="n">
        <v>0</v>
      </c>
      <c r="I242" s="19" t="n">
        <v>0</v>
      </c>
      <c r="J242" s="20" t="inlineStr">
        <is>
          <t>GST Free Expenses</t>
        </is>
      </c>
    </row>
    <row r="243" ht="10.5" customHeight="1" s="93">
      <c r="A243" s="33" t="n">
        <v>45901</v>
      </c>
      <c r="B243" s="34" t="inlineStr">
        <is>
          <t>Spend Money</t>
        </is>
      </c>
      <c r="C243" s="34" t="inlineStr">
        <is>
          <t>Kate L. Angulo - Contractor's fee</t>
        </is>
      </c>
      <c r="D243" s="34" t="inlineStr">
        <is>
          <t>315</t>
        </is>
      </c>
      <c r="E243" s="35" t="n">
        <v>1175.73</v>
      </c>
      <c r="F243" s="18" t="n">
        <v>0</v>
      </c>
      <c r="G243" s="18">
        <f>((G242 + E243) - F243)</f>
        <v/>
      </c>
      <c r="H243" s="18" t="n">
        <v>0</v>
      </c>
      <c r="I243" s="19" t="n">
        <v>0</v>
      </c>
      <c r="J243" s="20" t="inlineStr">
        <is>
          <t>GST Free Expenses</t>
        </is>
      </c>
    </row>
    <row r="244" ht="10.5" customHeight="1" s="93">
      <c r="A244" s="33" t="n">
        <v>45945</v>
      </c>
      <c r="B244" s="34" t="inlineStr">
        <is>
          <t>Spend Money</t>
        </is>
      </c>
      <c r="C244" s="34" t="inlineStr">
        <is>
          <t>Kate L. Angulo - Contractor's fee</t>
        </is>
      </c>
      <c r="D244" s="34" t="inlineStr">
        <is>
          <t>315</t>
        </is>
      </c>
      <c r="E244" s="35" t="n">
        <v>942.9299999999999</v>
      </c>
      <c r="F244" s="18" t="n">
        <v>0</v>
      </c>
      <c r="G244" s="18">
        <f>((G243 + E244) - F244)</f>
        <v/>
      </c>
      <c r="H244" s="18" t="n">
        <v>0</v>
      </c>
      <c r="I244" s="19" t="n">
        <v>0</v>
      </c>
      <c r="J244" s="20" t="inlineStr">
        <is>
          <t>GST Free Expenses</t>
        </is>
      </c>
    </row>
    <row r="245" ht="10.5" customHeight="1" s="93">
      <c r="A245" s="33" t="n">
        <v>46080</v>
      </c>
      <c r="B245" s="34" t="inlineStr">
        <is>
          <t>Spend Money</t>
        </is>
      </c>
      <c r="C245" s="34" t="inlineStr">
        <is>
          <t xml:space="preserve">Kate L. Angulo - Contractor's fee </t>
        </is>
      </c>
      <c r="D245" s="34" t="inlineStr">
        <is>
          <t>315</t>
        </is>
      </c>
      <c r="E245" s="35" t="n">
        <v>857.22</v>
      </c>
      <c r="F245" s="18" t="n">
        <v>0</v>
      </c>
      <c r="G245" s="18">
        <f>((G244 + E245) - F245)</f>
        <v/>
      </c>
      <c r="H245" s="18" t="n">
        <v>0</v>
      </c>
      <c r="I245" s="19" t="n">
        <v>0</v>
      </c>
      <c r="J245" s="20" t="inlineStr">
        <is>
          <t>GST Free Expenses</t>
        </is>
      </c>
    </row>
    <row r="246" ht="10.5" customHeight="1" s="93">
      <c r="A246" s="33" t="n">
        <v>46134</v>
      </c>
      <c r="B246" s="34" t="inlineStr">
        <is>
          <t>Spend Money</t>
        </is>
      </c>
      <c r="C246" s="34" t="inlineStr">
        <is>
          <t xml:space="preserve">Kate L. Angulo - Contractor's fee - </t>
        </is>
      </c>
      <c r="D246" s="34" t="inlineStr">
        <is>
          <t>315</t>
        </is>
      </c>
      <c r="E246" s="35" t="n">
        <v>1000</v>
      </c>
      <c r="F246" s="18" t="n">
        <v>0</v>
      </c>
      <c r="G246" s="18">
        <f>((G245 + E246) - F246)</f>
        <v/>
      </c>
      <c r="H246" s="18" t="n">
        <v>0</v>
      </c>
      <c r="I246" s="19" t="n">
        <v>0</v>
      </c>
      <c r="J246" s="20" t="inlineStr">
        <is>
          <t>GST Free Expenses</t>
        </is>
      </c>
    </row>
    <row r="247" ht="21" customHeight="1" s="93">
      <c r="A247" s="33" t="n">
        <v>46143</v>
      </c>
      <c r="B247" s="34" t="inlineStr">
        <is>
          <t>Spend Money</t>
        </is>
      </c>
      <c r="C247" s="34" t="inlineStr">
        <is>
          <t>Kate L. Angulo - Contractor's fee - April 15 -30, 2026</t>
        </is>
      </c>
      <c r="D247" s="34" t="inlineStr">
        <is>
          <t>315</t>
        </is>
      </c>
      <c r="E247" s="35" t="n">
        <v>497.73</v>
      </c>
      <c r="F247" s="18" t="n">
        <v>0</v>
      </c>
      <c r="G247" s="18">
        <f>((G246 + E247) - F247)</f>
        <v/>
      </c>
      <c r="H247" s="18" t="n">
        <v>0</v>
      </c>
      <c r="I247" s="19" t="n">
        <v>0</v>
      </c>
      <c r="J247" s="20" t="inlineStr">
        <is>
          <t>GST Free Expenses</t>
        </is>
      </c>
    </row>
    <row r="248" ht="31.5" customHeight="1" s="93">
      <c r="A248" s="33" t="n">
        <v>45839</v>
      </c>
      <c r="B248" s="34" t="inlineStr">
        <is>
          <t>Spend Money</t>
        </is>
      </c>
      <c r="C248" s="34" t="inlineStr">
        <is>
          <t>Kate L. Angulo - Contractor's fee - June 1-30, 2025</t>
        </is>
      </c>
      <c r="D248" s="34" t="inlineStr">
        <is>
          <t>315</t>
        </is>
      </c>
      <c r="E248" s="35" t="n">
        <v>1522.8</v>
      </c>
      <c r="F248" s="18" t="n">
        <v>0</v>
      </c>
      <c r="G248" s="18">
        <f>((G247 + E248) - F248)</f>
        <v/>
      </c>
      <c r="H248" s="18" t="n">
        <v>0</v>
      </c>
      <c r="I248" s="19" t="n">
        <v>0</v>
      </c>
      <c r="J248" s="20" t="inlineStr">
        <is>
          <t>GST Free Expenses</t>
        </is>
      </c>
    </row>
    <row r="249" ht="10.5" customHeight="1" s="93">
      <c r="A249" s="33" t="n">
        <v>46112</v>
      </c>
      <c r="B249" s="34" t="inlineStr">
        <is>
          <t>Spend Money</t>
        </is>
      </c>
      <c r="C249" s="34" t="inlineStr">
        <is>
          <t>Kate L. Angulo - Contractor's fee - March 16-30, 2026</t>
        </is>
      </c>
      <c r="D249" s="34" t="inlineStr">
        <is>
          <t>315</t>
        </is>
      </c>
      <c r="E249" s="35" t="n">
        <v>1128.28</v>
      </c>
      <c r="F249" s="18" t="n">
        <v>0</v>
      </c>
      <c r="G249" s="18">
        <f>((G248 + E249) - F249)</f>
        <v/>
      </c>
      <c r="H249" s="18" t="n">
        <v>0</v>
      </c>
      <c r="I249" s="19" t="n">
        <v>0</v>
      </c>
      <c r="J249" s="20" t="inlineStr">
        <is>
          <t>GST Free Expenses</t>
        </is>
      </c>
    </row>
    <row r="250" ht="10.5" customHeight="1" s="93">
      <c r="A250" s="33" t="n">
        <v>46127</v>
      </c>
      <c r="B250" s="34" t="inlineStr">
        <is>
          <t>Spend Money</t>
        </is>
      </c>
      <c r="C250" s="34" t="inlineStr">
        <is>
          <t>Kate L. Angulo - Contractor's fee - March 31-April 14, 2026</t>
        </is>
      </c>
      <c r="D250" s="34" t="inlineStr">
        <is>
          <t>315</t>
        </is>
      </c>
      <c r="E250" s="35" t="n">
        <v>957.95</v>
      </c>
      <c r="F250" s="18" t="n">
        <v>0</v>
      </c>
      <c r="G250" s="18">
        <f>((G249 + E250) - F250)</f>
        <v/>
      </c>
      <c r="H250" s="18" t="n">
        <v>0</v>
      </c>
      <c r="I250" s="19" t="n">
        <v>0</v>
      </c>
      <c r="J250" s="20" t="inlineStr">
        <is>
          <t>GST Free Expenses</t>
        </is>
      </c>
    </row>
    <row r="251" ht="10.5" customHeight="1" s="93">
      <c r="A251" s="33" t="n">
        <v>45975</v>
      </c>
      <c r="B251" s="34" t="inlineStr">
        <is>
          <t>Spend Money</t>
        </is>
      </c>
      <c r="C251" s="34" t="inlineStr">
        <is>
          <t xml:space="preserve">Kate L. Angulo - Contractor's fee - nov1-13 </t>
        </is>
      </c>
      <c r="D251" s="34" t="inlineStr">
        <is>
          <t>315</t>
        </is>
      </c>
      <c r="E251" s="35" t="n">
        <v>891.87</v>
      </c>
      <c r="F251" s="18" t="n">
        <v>0</v>
      </c>
      <c r="G251" s="18">
        <f>((G250 + E251) - F251)</f>
        <v/>
      </c>
      <c r="H251" s="18" t="n">
        <v>0</v>
      </c>
      <c r="I251" s="19" t="n">
        <v>0</v>
      </c>
      <c r="J251" s="20" t="inlineStr">
        <is>
          <t>GST Free Expenses</t>
        </is>
      </c>
    </row>
    <row r="252" ht="10.5" customHeight="1" s="93">
      <c r="A252" s="33" t="n">
        <v>46024</v>
      </c>
      <c r="B252" s="34" t="inlineStr">
        <is>
          <t>Payable Invoice</t>
        </is>
      </c>
      <c r="C252" s="70" t="inlineStr">
        <is>
          <t xml:space="preserve">Kate L. Angulo - Contractor's fee for  Dec 16-31,2025
</t>
        </is>
      </c>
      <c r="D252" s="34" t="inlineStr">
        <is>
          <t>December 2025</t>
        </is>
      </c>
      <c r="E252" s="35" t="n">
        <v>634.9299999999999</v>
      </c>
      <c r="F252" s="18" t="n">
        <v>0</v>
      </c>
      <c r="G252" s="18">
        <f>((G251 + E252) - F252)</f>
        <v/>
      </c>
      <c r="H252" s="18" t="n">
        <v>0</v>
      </c>
      <c r="I252" s="19" t="n">
        <v>0</v>
      </c>
      <c r="J252" s="20" t="inlineStr">
        <is>
          <t>GST Free Expenses</t>
        </is>
      </c>
    </row>
    <row r="253" ht="10.5" customHeight="1" s="93">
      <c r="A253" s="33" t="n">
        <v>46007</v>
      </c>
      <c r="B253" s="34" t="inlineStr">
        <is>
          <t>Payable Invoice</t>
        </is>
      </c>
      <c r="C253" s="70" t="inlineStr">
        <is>
          <t xml:space="preserve">Kate L. Angulo - Contractor's fee for December 1-15, 2025
</t>
        </is>
      </c>
      <c r="D253" s="34" t="inlineStr">
        <is>
          <t>December 2025</t>
        </is>
      </c>
      <c r="E253" s="35" t="n">
        <v>774.67</v>
      </c>
      <c r="F253" s="18" t="n">
        <v>0</v>
      </c>
      <c r="G253" s="18">
        <f>((G252 + E253) - F253)</f>
        <v/>
      </c>
      <c r="H253" s="18" t="n">
        <v>0</v>
      </c>
      <c r="I253" s="19" t="n">
        <v>0</v>
      </c>
      <c r="J253" s="20" t="inlineStr">
        <is>
          <t>GST Free Expenses</t>
        </is>
      </c>
    </row>
    <row r="254" ht="10.5" customHeight="1" s="93">
      <c r="A254" s="33" t="n">
        <v>46052</v>
      </c>
      <c r="B254" s="34" t="inlineStr">
        <is>
          <t>Payable Invoice</t>
        </is>
      </c>
      <c r="C254" s="70" t="inlineStr">
        <is>
          <t xml:space="preserve">Kate L. Angulo - Contractor's fee for Jan 15-29, 2026
</t>
        </is>
      </c>
      <c r="D254" s="34" t="inlineStr">
        <is>
          <t>Jan 15-29, 2026</t>
        </is>
      </c>
      <c r="E254" s="35" t="n">
        <v>1077.33</v>
      </c>
      <c r="F254" s="18" t="n">
        <v>0</v>
      </c>
      <c r="G254" s="18">
        <f>((G253 + E254) - F254)</f>
        <v/>
      </c>
      <c r="H254" s="18" t="n">
        <v>0</v>
      </c>
      <c r="I254" s="19" t="n">
        <v>0</v>
      </c>
      <c r="J254" s="20" t="inlineStr">
        <is>
          <t>GST Free Expenses</t>
        </is>
      </c>
    </row>
    <row r="255" ht="10.5" customHeight="1" s="93">
      <c r="A255" s="33" t="n">
        <v>45992</v>
      </c>
      <c r="B255" s="34" t="inlineStr">
        <is>
          <t>Spend Money</t>
        </is>
      </c>
      <c r="C255" s="34" t="inlineStr">
        <is>
          <t>Kate L. Angulo - Contractor's fee for November 2025</t>
        </is>
      </c>
      <c r="D255" s="34" t="inlineStr">
        <is>
          <t>315</t>
        </is>
      </c>
      <c r="E255" s="35" t="n">
        <v>1191.89</v>
      </c>
      <c r="F255" s="18" t="n">
        <v>0</v>
      </c>
      <c r="G255" s="18">
        <f>((G254 + E255) - F255)</f>
        <v/>
      </c>
      <c r="H255" s="18" t="n">
        <v>0</v>
      </c>
      <c r="I255" s="19" t="n">
        <v>0</v>
      </c>
      <c r="J255" s="20" t="inlineStr">
        <is>
          <t>GST Free Expenses</t>
        </is>
      </c>
    </row>
    <row r="256" ht="21" customHeight="1" s="93">
      <c r="A256" s="33" t="n">
        <v>45960</v>
      </c>
      <c r="B256" s="34" t="inlineStr">
        <is>
          <t>Payable Invoice</t>
        </is>
      </c>
      <c r="C256" s="70" t="inlineStr">
        <is>
          <t xml:space="preserve">Kate L. Angulo - Contractor's fee for Oct 15-31,2025
</t>
        </is>
      </c>
      <c r="D256" s="34" t="inlineStr">
        <is>
          <t>October 2025</t>
        </is>
      </c>
      <c r="E256" s="35" t="n">
        <v>968.53</v>
      </c>
      <c r="F256" s="18" t="n">
        <v>0</v>
      </c>
      <c r="G256" s="18">
        <f>((G255 + E256) - F256)</f>
        <v/>
      </c>
      <c r="H256" s="18" t="n">
        <v>0</v>
      </c>
      <c r="I256" s="19" t="n">
        <v>0</v>
      </c>
      <c r="J256" s="20" t="inlineStr">
        <is>
          <t>GST Free Expenses</t>
        </is>
      </c>
    </row>
    <row r="257" ht="10.5" customHeight="1" s="93">
      <c r="A257" s="33" t="n">
        <v>45929</v>
      </c>
      <c r="B257" s="34" t="inlineStr">
        <is>
          <t>Payable Invoice</t>
        </is>
      </c>
      <c r="C257" s="70" t="inlineStr">
        <is>
          <t xml:space="preserve">Kate L. Angulo - Contractor's fee for September 2025
</t>
        </is>
      </c>
      <c r="D257" s="34" t="inlineStr">
        <is>
          <t>September 2025</t>
        </is>
      </c>
      <c r="E257" s="35" t="n">
        <v>1509.33</v>
      </c>
      <c r="F257" s="18" t="n">
        <v>0</v>
      </c>
      <c r="G257" s="18">
        <f>((G256 + E257) - F257)</f>
        <v/>
      </c>
      <c r="H257" s="18" t="n">
        <v>0</v>
      </c>
      <c r="I257" s="19" t="n">
        <v>0</v>
      </c>
      <c r="J257" s="20" t="inlineStr">
        <is>
          <t>GST Free Expenses</t>
        </is>
      </c>
    </row>
    <row r="258" ht="10.5" customHeight="1" s="93">
      <c r="A258" s="33" t="n">
        <v>46097</v>
      </c>
      <c r="B258" s="34" t="inlineStr">
        <is>
          <t>Spend Money</t>
        </is>
      </c>
      <c r="C258" s="34" t="inlineStr">
        <is>
          <t>Kate L. Angulo - Contractor's fee mid pay for March</t>
        </is>
      </c>
      <c r="D258" s="34" t="inlineStr">
        <is>
          <t>315</t>
        </is>
      </c>
      <c r="E258" s="35" t="n">
        <v>1003.14</v>
      </c>
      <c r="F258" s="18" t="n">
        <v>0</v>
      </c>
      <c r="G258" s="18">
        <f>((G257 + E258) - F258)</f>
        <v/>
      </c>
      <c r="H258" s="18" t="n">
        <v>0</v>
      </c>
      <c r="I258" s="19" t="n">
        <v>0</v>
      </c>
      <c r="J258" s="20" t="inlineStr">
        <is>
          <t>GST Free Expenses</t>
        </is>
      </c>
    </row>
    <row r="259" ht="10.5" customHeight="1" s="93">
      <c r="A259" s="33" t="n">
        <v>46037</v>
      </c>
      <c r="B259" s="34" t="inlineStr">
        <is>
          <t>Spend Money</t>
        </is>
      </c>
      <c r="C259" s="34" t="inlineStr">
        <is>
          <t>Kate L. Angulo - Contractor's fee mid pay Jan 2026</t>
        </is>
      </c>
      <c r="D259" s="34" t="inlineStr">
        <is>
          <t>315</t>
        </is>
      </c>
      <c r="E259" s="35" t="n">
        <v>869.0700000000001</v>
      </c>
      <c r="F259" s="18" t="n">
        <v>0</v>
      </c>
      <c r="G259" s="18">
        <f>((G258 + E259) - F259)</f>
        <v/>
      </c>
      <c r="H259" s="18" t="n">
        <v>0</v>
      </c>
      <c r="I259" s="19" t="n">
        <v>0</v>
      </c>
      <c r="J259" s="20" t="inlineStr">
        <is>
          <t>GST Free Expenses</t>
        </is>
      </c>
    </row>
    <row r="260" ht="21" customHeight="1" s="93">
      <c r="A260" s="33" t="n">
        <v>46066</v>
      </c>
      <c r="B260" s="34" t="inlineStr">
        <is>
          <t>Spend Money</t>
        </is>
      </c>
      <c r="C260" s="34" t="inlineStr">
        <is>
          <t>Kate L. Angulo - Contractor's fee mid pay Jan 2026</t>
        </is>
      </c>
      <c r="D260" s="34" t="inlineStr">
        <is>
          <t>315</t>
        </is>
      </c>
      <c r="E260" s="35" t="n">
        <v>982.71</v>
      </c>
      <c r="F260" s="18" t="n">
        <v>0</v>
      </c>
      <c r="G260" s="18">
        <f>((G259 + E260) - F260)</f>
        <v/>
      </c>
      <c r="H260" s="18" t="n">
        <v>0</v>
      </c>
      <c r="I260" s="19" t="n">
        <v>0</v>
      </c>
      <c r="J260" s="20" t="inlineStr">
        <is>
          <t>GST Free Expenses</t>
        </is>
      </c>
    </row>
    <row r="261" ht="31.5" customHeight="1" s="93">
      <c r="A261" s="36" t="n">
        <v>46007</v>
      </c>
      <c r="B261" s="37" t="inlineStr">
        <is>
          <t>Spend Money</t>
        </is>
      </c>
      <c r="C261" s="37" t="inlineStr">
        <is>
          <t>Lorie Jane L. Rojo - Christmas Bonus</t>
        </is>
      </c>
      <c r="D261" s="37" t="inlineStr">
        <is>
          <t>315</t>
        </is>
      </c>
      <c r="E261" s="38" t="n">
        <v>150</v>
      </c>
      <c r="F261" s="18" t="n">
        <v>0</v>
      </c>
      <c r="G261" s="18">
        <f>((G260 + E261) - F261)</f>
        <v/>
      </c>
      <c r="H261" s="18" t="n">
        <v>0</v>
      </c>
      <c r="I261" s="19" t="n">
        <v>0</v>
      </c>
      <c r="J261" s="20" t="inlineStr">
        <is>
          <t>GST Free Expenses</t>
        </is>
      </c>
    </row>
    <row r="262" ht="31.5" customHeight="1" s="93">
      <c r="A262" s="36" t="n">
        <v>45846</v>
      </c>
      <c r="B262" s="37" t="inlineStr">
        <is>
          <t>Spend Money</t>
        </is>
      </c>
      <c r="C262" s="37" t="inlineStr">
        <is>
          <t>Lorie Jane L. Rojo - Virtual Assistance and Social Media Engagement</t>
        </is>
      </c>
      <c r="D262" s="37" t="inlineStr">
        <is>
          <t>315</t>
        </is>
      </c>
      <c r="E262" s="38" t="n">
        <v>75</v>
      </c>
      <c r="F262" s="18" t="n">
        <v>0</v>
      </c>
      <c r="G262" s="18">
        <f>((G261 + E262) - F262)</f>
        <v/>
      </c>
      <c r="H262" s="18" t="n">
        <v>0</v>
      </c>
      <c r="I262" s="19" t="n">
        <v>0</v>
      </c>
      <c r="J262" s="20" t="inlineStr">
        <is>
          <t>GST Free Expenses</t>
        </is>
      </c>
    </row>
    <row r="263" ht="10.5" customHeight="1" s="93">
      <c r="A263" s="36" t="n">
        <v>45992</v>
      </c>
      <c r="B263" s="37" t="inlineStr">
        <is>
          <t>Spend Money</t>
        </is>
      </c>
      <c r="C263" s="37" t="inlineStr">
        <is>
          <t>Lorie Jane L. Rojo - Virtual Assistance and Social Media Engagement</t>
        </is>
      </c>
      <c r="D263" s="37" t="inlineStr">
        <is>
          <t>315</t>
        </is>
      </c>
      <c r="E263" s="38" t="n">
        <v>1436.05</v>
      </c>
      <c r="F263" s="18" t="n">
        <v>0</v>
      </c>
      <c r="G263" s="18">
        <f>((G262 + E263) - F263)</f>
        <v/>
      </c>
      <c r="H263" s="18" t="n">
        <v>0</v>
      </c>
      <c r="I263" s="19" t="n">
        <v>0</v>
      </c>
      <c r="J263" s="20" t="inlineStr">
        <is>
          <t>GST Free Expenses</t>
        </is>
      </c>
    </row>
    <row r="264" ht="10.5" customHeight="1" s="93">
      <c r="A264" s="36" t="n">
        <v>46055</v>
      </c>
      <c r="B264" s="37" t="inlineStr">
        <is>
          <t>Spend Money</t>
        </is>
      </c>
      <c r="C264" s="37" t="inlineStr">
        <is>
          <t>Lorie Jane L. Rojo - Virtual Assistance and Social Media Engagement</t>
        </is>
      </c>
      <c r="D264" s="37" t="inlineStr">
        <is>
          <t>315</t>
        </is>
      </c>
      <c r="E264" s="38" t="n">
        <v>1354.57</v>
      </c>
      <c r="F264" s="18" t="n">
        <v>0</v>
      </c>
      <c r="G264" s="18">
        <f>((G263 + E264) - F264)</f>
        <v/>
      </c>
      <c r="H264" s="18" t="n">
        <v>0</v>
      </c>
      <c r="I264" s="19" t="n">
        <v>0</v>
      </c>
      <c r="J264" s="20" t="inlineStr">
        <is>
          <t>GST Free Expenses</t>
        </is>
      </c>
    </row>
    <row r="265" ht="21" customHeight="1" s="93">
      <c r="A265" s="36" t="n">
        <v>46083</v>
      </c>
      <c r="B265" s="37" t="inlineStr">
        <is>
          <t>Spend Money</t>
        </is>
      </c>
      <c r="C265" s="37" t="inlineStr">
        <is>
          <t>Lorie Jane L. Rojo - Virtual Assistance and Social Media Engagement</t>
        </is>
      </c>
      <c r="D265" s="37" t="inlineStr">
        <is>
          <t>315</t>
        </is>
      </c>
      <c r="E265" s="38" t="n">
        <v>1347.08</v>
      </c>
      <c r="F265" s="18" t="n">
        <v>0</v>
      </c>
      <c r="G265" s="18">
        <f>((G264 + E265) - F265)</f>
        <v/>
      </c>
      <c r="H265" s="18" t="n">
        <v>0</v>
      </c>
      <c r="I265" s="19" t="n">
        <v>0</v>
      </c>
      <c r="J265" s="20" t="inlineStr">
        <is>
          <t>GST Free Expenses</t>
        </is>
      </c>
    </row>
    <row r="266" ht="10.5" customHeight="1" s="93">
      <c r="A266" s="36" t="n">
        <v>46112</v>
      </c>
      <c r="B266" s="37" t="inlineStr">
        <is>
          <t>Spend Money</t>
        </is>
      </c>
      <c r="C266" s="37" t="inlineStr">
        <is>
          <t>Lorie Jane L. Rojo - Virtual Assistance and Social Media Engagement</t>
        </is>
      </c>
      <c r="D266" s="37" t="inlineStr">
        <is>
          <t>315</t>
        </is>
      </c>
      <c r="E266" s="38" t="n">
        <v>1337.91</v>
      </c>
      <c r="F266" s="18" t="n">
        <v>0</v>
      </c>
      <c r="G266" s="18">
        <f>((G265 + E266) - F266)</f>
        <v/>
      </c>
      <c r="H266" s="18" t="n">
        <v>0</v>
      </c>
      <c r="I266" s="19" t="n">
        <v>0</v>
      </c>
      <c r="J266" s="20" t="inlineStr">
        <is>
          <t>GST Free Expenses</t>
        </is>
      </c>
    </row>
    <row r="267" ht="10.5" customHeight="1" s="93">
      <c r="A267" s="36" t="n">
        <v>45839</v>
      </c>
      <c r="B267" s="37" t="inlineStr">
        <is>
          <t>Payable Invoice</t>
        </is>
      </c>
      <c r="C267" s="71" t="inlineStr">
        <is>
          <t>Lorie Jane L. Rojo - Virtual Assistance and Social Media Engagement  
June 1-30, 2025
168:04 hours for AU$7/hr</t>
        </is>
      </c>
      <c r="D267" s="37" t="inlineStr">
        <is>
          <t>INV-0048</t>
        </is>
      </c>
      <c r="E267" s="38" t="n">
        <v>1135.05</v>
      </c>
      <c r="F267" s="18" t="n">
        <v>0</v>
      </c>
      <c r="G267" s="18">
        <f>((G266 + E267) - F267)</f>
        <v/>
      </c>
      <c r="H267" s="18" t="n">
        <v>0</v>
      </c>
      <c r="I267" s="19" t="n">
        <v>0</v>
      </c>
      <c r="J267" s="20" t="inlineStr">
        <is>
          <t>GST Free Expenses</t>
        </is>
      </c>
    </row>
    <row r="268" ht="10.5" customHeight="1" s="93">
      <c r="A268" s="36" t="n">
        <v>46024</v>
      </c>
      <c r="B268" s="37" t="inlineStr">
        <is>
          <t>Payable Invoice</t>
        </is>
      </c>
      <c r="C268" s="71" t="inlineStr">
        <is>
          <t>Lorie Jane L. Rojo - Virtual Assistance and Social Media Engagement 1 A$821.94 A$821.94
December 01 - December 31, 2025
117:42 hours for AU$7/hr</t>
        </is>
      </c>
      <c r="D268" s="37" t="inlineStr">
        <is>
          <t>INV-0054</t>
        </is>
      </c>
      <c r="E268" s="38" t="n">
        <v>821.9400000000001</v>
      </c>
      <c r="F268" s="18" t="n">
        <v>0</v>
      </c>
      <c r="G268" s="18">
        <f>((G267 + E268) - F268)</f>
        <v/>
      </c>
      <c r="H268" s="18" t="n">
        <v>0</v>
      </c>
      <c r="I268" s="19" t="n">
        <v>0</v>
      </c>
      <c r="J268" s="20" t="inlineStr">
        <is>
          <t>GST Free Expenses</t>
        </is>
      </c>
    </row>
    <row r="269" ht="10.5" customHeight="1" s="93">
      <c r="A269" s="36" t="n">
        <v>46143</v>
      </c>
      <c r="B269" s="37" t="inlineStr">
        <is>
          <t>Payable Invoice</t>
        </is>
      </c>
      <c r="C269" s="71" t="inlineStr">
        <is>
          <t>Lorie Jane L. Rojo - Virtual Assistance and Social Media Engagement March 31 - April 30, 2026
226:30 hours for AU$7/hr</t>
        </is>
      </c>
      <c r="D269" s="37" t="inlineStr">
        <is>
          <t>INV-0058</t>
        </is>
      </c>
      <c r="E269" s="38" t="n">
        <v>1584.1</v>
      </c>
      <c r="F269" s="18" t="n">
        <v>0</v>
      </c>
      <c r="G269" s="18">
        <f>((G268 + E269) - F269)</f>
        <v/>
      </c>
      <c r="H269" s="18" t="n">
        <v>0</v>
      </c>
      <c r="I269" s="19" t="n">
        <v>0</v>
      </c>
      <c r="J269" s="20" t="inlineStr">
        <is>
          <t>GST Free Expenses</t>
        </is>
      </c>
    </row>
    <row r="270" ht="10.5" customHeight="1" s="93">
      <c r="A270" s="36" t="n">
        <v>45901</v>
      </c>
      <c r="B270" s="37" t="inlineStr">
        <is>
          <t>Payable Invoice</t>
        </is>
      </c>
      <c r="C270" s="71" t="inlineStr">
        <is>
          <t>Lorie Jane L. Rojo - Virtual Assistance and Social Media Engagement
August 1 - August 31, 2025
151:42 hours for AU$7/hr</t>
        </is>
      </c>
      <c r="D270" s="37" t="inlineStr">
        <is>
          <t># 50</t>
        </is>
      </c>
      <c r="E270" s="38" t="n">
        <v>1059.94</v>
      </c>
      <c r="F270" s="18" t="n">
        <v>0</v>
      </c>
      <c r="G270" s="18">
        <f>((G269 + E270) - F270)</f>
        <v/>
      </c>
      <c r="H270" s="18" t="n">
        <v>0</v>
      </c>
      <c r="I270" s="19" t="n">
        <v>0</v>
      </c>
      <c r="J270" s="20" t="inlineStr">
        <is>
          <t>GST Free Expenses</t>
        </is>
      </c>
    </row>
    <row r="271" ht="10.5" customHeight="1" s="93">
      <c r="A271" s="36" t="n">
        <v>45960</v>
      </c>
      <c r="B271" s="37" t="inlineStr">
        <is>
          <t>Payable Invoice</t>
        </is>
      </c>
      <c r="C271" s="71" t="inlineStr">
        <is>
          <t>Lorie Jane L. Rojo - Virtual Assistance and Social Media Management 
October 1 - October 29, 2025
182:43 hours for AU$7/hr</t>
        </is>
      </c>
      <c r="D271" s="37" t="inlineStr">
        <is>
          <t>INV-0052</t>
        </is>
      </c>
      <c r="E271" s="38" t="n">
        <v>1277.01</v>
      </c>
      <c r="F271" s="18" t="n">
        <v>0</v>
      </c>
      <c r="G271" s="18">
        <f>((G270 + E271) - F271)</f>
        <v/>
      </c>
      <c r="H271" s="18" t="n">
        <v>0</v>
      </c>
      <c r="I271" s="19" t="n">
        <v>0</v>
      </c>
      <c r="J271" s="20" t="inlineStr">
        <is>
          <t>GST Free Expenses</t>
        </is>
      </c>
    </row>
    <row r="272" ht="10.5" customHeight="1" s="93">
      <c r="A272" s="36" t="n">
        <v>45931</v>
      </c>
      <c r="B272" s="37" t="inlineStr">
        <is>
          <t>Payable Invoice</t>
        </is>
      </c>
      <c r="C272" s="71" t="inlineStr">
        <is>
          <t>Lorie Jane L. Rojo - Virtual Assistance and Social Media Management 
September 1-30, 2025
213:22 hours for $7/hr</t>
        </is>
      </c>
      <c r="D272" s="37" t="inlineStr">
        <is>
          <t>INV-0051</t>
        </is>
      </c>
      <c r="E272" s="38" t="n">
        <v>1493.57</v>
      </c>
      <c r="F272" s="18" t="n">
        <v>0</v>
      </c>
      <c r="G272" s="18">
        <f>((G271 + E272) - F272)</f>
        <v/>
      </c>
      <c r="H272" s="18" t="n">
        <v>0</v>
      </c>
      <c r="I272" s="19" t="n">
        <v>0</v>
      </c>
      <c r="J272" s="20" t="inlineStr">
        <is>
          <t>GST Free Expenses</t>
        </is>
      </c>
    </row>
    <row r="273" ht="10.5" customHeight="1" s="93">
      <c r="A273" s="36" t="n">
        <v>45870</v>
      </c>
      <c r="B273" s="37" t="inlineStr">
        <is>
          <t>Payable Invoice</t>
        </is>
      </c>
      <c r="C273" s="71" t="inlineStr">
        <is>
          <t>Lorie Jane L. Rojo - Virtual Assistance and Social Media Management 1 A$1,367.45 A$1,367.45
July 1-31, 2025
195:21 hours for AU$7/hr</t>
        </is>
      </c>
      <c r="D273" s="37" t="inlineStr">
        <is>
          <t>INV-0049</t>
        </is>
      </c>
      <c r="E273" s="38" t="n">
        <v>1367.45</v>
      </c>
      <c r="F273" s="18" t="n">
        <v>0</v>
      </c>
      <c r="G273" s="18">
        <f>((G272 + E273) - F273)</f>
        <v/>
      </c>
      <c r="H273" s="18" t="n">
        <v>0</v>
      </c>
      <c r="I273" s="19" t="n">
        <v>0</v>
      </c>
      <c r="J273" s="20" t="inlineStr">
        <is>
          <t>GST Free Expenses</t>
        </is>
      </c>
    </row>
    <row r="274" ht="10.5" customHeight="1" s="93">
      <c r="A274" s="72" t="n">
        <v>46144</v>
      </c>
      <c r="B274" s="73" t="inlineStr">
        <is>
          <t>Payable Invoice</t>
        </is>
      </c>
      <c r="C274" s="73" t="inlineStr">
        <is>
          <t>Nawal Rafay - For the month of April 2026</t>
        </is>
      </c>
      <c r="D274" s="73" t="inlineStr">
        <is>
          <t>INV-30042026</t>
        </is>
      </c>
      <c r="E274" s="74" t="n">
        <v>1905.34</v>
      </c>
      <c r="F274" s="18" t="n">
        <v>0</v>
      </c>
      <c r="G274" s="18">
        <f>((G273 + E274) - F274)</f>
        <v/>
      </c>
      <c r="H274" s="18" t="n">
        <v>0</v>
      </c>
      <c r="I274" s="19" t="n">
        <v>0</v>
      </c>
      <c r="J274" s="20" t="inlineStr">
        <is>
          <t>GST Free Expenses</t>
        </is>
      </c>
    </row>
    <row r="275" ht="10.5" customHeight="1" s="93">
      <c r="A275" s="72" t="n">
        <v>46083</v>
      </c>
      <c r="B275" s="73" t="inlineStr">
        <is>
          <t>Payable Invoice</t>
        </is>
      </c>
      <c r="C275" s="73" t="inlineStr">
        <is>
          <t>Nawal Rafay - For the month of February 2026</t>
        </is>
      </c>
      <c r="D275" s="73" t="inlineStr">
        <is>
          <t>Feb invoice</t>
        </is>
      </c>
      <c r="E275" s="74" t="n">
        <v>2080.29</v>
      </c>
      <c r="F275" s="18" t="n">
        <v>0</v>
      </c>
      <c r="G275" s="18">
        <f>((G274 + E275) - F275)</f>
        <v/>
      </c>
      <c r="H275" s="18" t="n">
        <v>0</v>
      </c>
      <c r="I275" s="19" t="n">
        <v>0</v>
      </c>
      <c r="J275" s="20" t="inlineStr">
        <is>
          <t>GST Free Expenses</t>
        </is>
      </c>
    </row>
    <row r="276" ht="10.5" customHeight="1" s="93">
      <c r="A276" s="72" t="n">
        <v>46057</v>
      </c>
      <c r="B276" s="73" t="inlineStr">
        <is>
          <t>Payable Invoice</t>
        </is>
      </c>
      <c r="C276" s="73" t="inlineStr">
        <is>
          <t>Nawal Rafay - For the month of January 2026</t>
        </is>
      </c>
      <c r="D276" s="73" t="inlineStr">
        <is>
          <t>INV-02022026</t>
        </is>
      </c>
      <c r="E276" s="74" t="n">
        <v>2350.31</v>
      </c>
      <c r="F276" s="18" t="n">
        <v>0</v>
      </c>
      <c r="G276" s="18">
        <f>((G275 + E276) - F276)</f>
        <v/>
      </c>
      <c r="H276" s="18" t="n">
        <v>0</v>
      </c>
      <c r="I276" s="19" t="n">
        <v>0</v>
      </c>
      <c r="J276" s="20" t="inlineStr">
        <is>
          <t>GST Free Expenses</t>
        </is>
      </c>
    </row>
    <row r="277" ht="10.5" customHeight="1" s="93">
      <c r="A277" s="22" t="n">
        <v>46129</v>
      </c>
      <c r="B277" s="23" t="inlineStr">
        <is>
          <t>Spend Money</t>
        </is>
      </c>
      <c r="C277" s="23" t="inlineStr">
        <is>
          <t>Sunshine Lorilla - BDAY bonus</t>
        </is>
      </c>
      <c r="D277" s="23" t="n"/>
      <c r="E277" s="24" t="n">
        <v>50</v>
      </c>
      <c r="F277" s="18" t="n">
        <v>0</v>
      </c>
      <c r="G277" s="18">
        <f>((G276 + E277) - F277)</f>
        <v/>
      </c>
      <c r="H277" s="18" t="n">
        <v>0</v>
      </c>
      <c r="I277" s="19" t="n">
        <v>0</v>
      </c>
      <c r="J277" s="20" t="inlineStr">
        <is>
          <t>GST Free Expenses</t>
        </is>
      </c>
    </row>
    <row r="278" ht="10.5" customHeight="1" s="93">
      <c r="A278" s="22" t="n">
        <v>46143</v>
      </c>
      <c r="B278" s="23" t="inlineStr">
        <is>
          <t>Payable Invoice</t>
        </is>
      </c>
      <c r="C278" s="23" t="inlineStr">
        <is>
          <t>Sunshine Lorilla - Virtual Assistant (Admin Support) - April 2026</t>
        </is>
      </c>
      <c r="D278" s="23" t="inlineStr">
        <is>
          <t>for April 2026</t>
        </is>
      </c>
      <c r="E278" s="24" t="n">
        <v>584.64</v>
      </c>
      <c r="F278" s="18" t="n">
        <v>0</v>
      </c>
      <c r="G278" s="18">
        <f>((G277 + E278) - F278)</f>
        <v/>
      </c>
      <c r="H278" s="18" t="n">
        <v>0</v>
      </c>
      <c r="I278" s="19" t="n">
        <v>0</v>
      </c>
      <c r="J278" s="20" t="inlineStr">
        <is>
          <t>GST Free Expenses</t>
        </is>
      </c>
    </row>
    <row r="279" ht="10.5" customHeight="1" s="93">
      <c r="A279" s="22" t="n">
        <v>45901</v>
      </c>
      <c r="B279" s="23" t="inlineStr">
        <is>
          <t>Payable Invoice</t>
        </is>
      </c>
      <c r="C279" s="23" t="inlineStr">
        <is>
          <t>Sunshine Lorilla - Virtual Assistant (Admin Support) - August 2025</t>
        </is>
      </c>
      <c r="D279" s="23" t="inlineStr">
        <is>
          <t>for August 2025</t>
        </is>
      </c>
      <c r="E279" s="24" t="n">
        <v>596.47</v>
      </c>
      <c r="F279" s="18" t="n">
        <v>0</v>
      </c>
      <c r="G279" s="18">
        <f>((G278 + E279) - F279)</f>
        <v/>
      </c>
      <c r="H279" s="18" t="n">
        <v>0</v>
      </c>
      <c r="I279" s="19" t="n">
        <v>0</v>
      </c>
      <c r="J279" s="20" t="inlineStr">
        <is>
          <t>GST Free Expenses</t>
        </is>
      </c>
    </row>
    <row r="280" ht="10.5" customHeight="1" s="93">
      <c r="A280" s="22" t="n">
        <v>46024</v>
      </c>
      <c r="B280" s="23" t="inlineStr">
        <is>
          <t>Payable Invoice</t>
        </is>
      </c>
      <c r="C280" s="23" t="inlineStr">
        <is>
          <t>Sunshine Lorilla - Virtual Assistant (Admin Support) - December 2025</t>
        </is>
      </c>
      <c r="D280" s="23" t="inlineStr">
        <is>
          <t>for December  2025</t>
        </is>
      </c>
      <c r="E280" s="24" t="n">
        <v>225.33</v>
      </c>
      <c r="F280" s="18" t="n">
        <v>0</v>
      </c>
      <c r="G280" s="18">
        <f>((G279 + E280) - F280)</f>
        <v/>
      </c>
      <c r="H280" s="18" t="n">
        <v>0</v>
      </c>
      <c r="I280" s="19" t="n">
        <v>0</v>
      </c>
      <c r="J280" s="20" t="inlineStr">
        <is>
          <t>GST Free Expenses</t>
        </is>
      </c>
    </row>
    <row r="281" ht="10.5" customHeight="1" s="93">
      <c r="A281" s="22" t="n">
        <v>46083</v>
      </c>
      <c r="B281" s="23" t="inlineStr">
        <is>
          <t>Payable Invoice</t>
        </is>
      </c>
      <c r="C281" s="23" t="inlineStr">
        <is>
          <t>Sunshine Lorilla - Virtual Assistant (Admin Support) - for February 2026</t>
        </is>
      </c>
      <c r="D281" s="23" t="inlineStr">
        <is>
          <t>for February 2026</t>
        </is>
      </c>
      <c r="E281" s="24" t="n">
        <v>665.63</v>
      </c>
      <c r="F281" s="18" t="n">
        <v>0</v>
      </c>
      <c r="G281" s="18">
        <f>((G280 + E281) - F281)</f>
        <v/>
      </c>
      <c r="H281" s="18" t="n">
        <v>0</v>
      </c>
      <c r="I281" s="19" t="n">
        <v>0</v>
      </c>
      <c r="J281" s="20" t="inlineStr">
        <is>
          <t>GST Free Expenses</t>
        </is>
      </c>
    </row>
    <row r="282" ht="10.5" customHeight="1" s="93">
      <c r="A282" s="22" t="n">
        <v>46059</v>
      </c>
      <c r="B282" s="23" t="inlineStr">
        <is>
          <t>Payable Invoice</t>
        </is>
      </c>
      <c r="C282" s="23" t="inlineStr">
        <is>
          <t>Sunshine Lorilla - Virtual Assistant (Admin Support) - January 2026</t>
        </is>
      </c>
      <c r="D282" s="23" t="inlineStr">
        <is>
          <t>for January 2026</t>
        </is>
      </c>
      <c r="E282" s="24" t="n">
        <v>758.52</v>
      </c>
      <c r="F282" s="18" t="n">
        <v>0</v>
      </c>
      <c r="G282" s="18">
        <f>((G281 + E282) - F282)</f>
        <v/>
      </c>
      <c r="H282" s="18" t="n">
        <v>0</v>
      </c>
      <c r="I282" s="19" t="n">
        <v>0</v>
      </c>
      <c r="J282" s="20" t="inlineStr">
        <is>
          <t>GST Free Expenses</t>
        </is>
      </c>
    </row>
    <row r="283" ht="10.5" customHeight="1" s="93">
      <c r="A283" s="22" t="n">
        <v>45870</v>
      </c>
      <c r="B283" s="23" t="inlineStr">
        <is>
          <t>Payable Invoice</t>
        </is>
      </c>
      <c r="C283" s="23" t="inlineStr">
        <is>
          <t>Sunshine Lorilla - Virtual Assistant (Admin Support) - July 2025</t>
        </is>
      </c>
      <c r="D283" s="23" t="inlineStr">
        <is>
          <t>for July 2025</t>
        </is>
      </c>
      <c r="E283" s="24" t="n">
        <v>557.0599999999999</v>
      </c>
      <c r="F283" s="18" t="n">
        <v>0</v>
      </c>
      <c r="G283" s="18">
        <f>((G282 + E283) - F283)</f>
        <v/>
      </c>
      <c r="H283" s="18" t="n">
        <v>0</v>
      </c>
      <c r="I283" s="19" t="n">
        <v>0</v>
      </c>
      <c r="J283" s="20" t="inlineStr">
        <is>
          <t>GST Free Expenses</t>
        </is>
      </c>
    </row>
    <row r="284" ht="10.5" customHeight="1" s="93">
      <c r="A284" s="22" t="n">
        <v>45839</v>
      </c>
      <c r="B284" s="23" t="inlineStr">
        <is>
          <t>Payable Invoice</t>
        </is>
      </c>
      <c r="C284" s="23" t="inlineStr">
        <is>
          <t>Sunshine Lorilla - Virtual Assistant (Admin Support) - June 2025</t>
        </is>
      </c>
      <c r="D284" s="23" t="inlineStr">
        <is>
          <t>for June 2025</t>
        </is>
      </c>
      <c r="E284" s="24" t="n">
        <v>367.15</v>
      </c>
      <c r="F284" s="18" t="n">
        <v>0</v>
      </c>
      <c r="G284" s="18">
        <f>((G283 + E284) - F284)</f>
        <v/>
      </c>
      <c r="H284" s="18" t="n">
        <v>0</v>
      </c>
      <c r="I284" s="19" t="n">
        <v>0</v>
      </c>
      <c r="J284" s="20" t="inlineStr">
        <is>
          <t>GST Free Expenses</t>
        </is>
      </c>
    </row>
    <row r="285" ht="10.5" customHeight="1" s="93">
      <c r="A285" s="22" t="n">
        <v>46112</v>
      </c>
      <c r="B285" s="23" t="inlineStr">
        <is>
          <t>Payable Invoice</t>
        </is>
      </c>
      <c r="C285" s="23" t="inlineStr">
        <is>
          <t>Sunshine Lorilla - Virtual Assistant (Admin Support) - March 2026</t>
        </is>
      </c>
      <c r="D285" s="23" t="inlineStr">
        <is>
          <t>for March 2026</t>
        </is>
      </c>
      <c r="E285" s="24" t="n">
        <v>490.42</v>
      </c>
      <c r="F285" s="18" t="n">
        <v>0</v>
      </c>
      <c r="G285" s="18">
        <f>((G284 + E285) - F285)</f>
        <v/>
      </c>
      <c r="H285" s="18" t="n">
        <v>0</v>
      </c>
      <c r="I285" s="19" t="n">
        <v>0</v>
      </c>
      <c r="J285" s="20" t="inlineStr">
        <is>
          <t>GST Free Expenses</t>
        </is>
      </c>
    </row>
    <row r="286" ht="10.5" customHeight="1" s="93">
      <c r="A286" s="22" t="n">
        <v>45992</v>
      </c>
      <c r="B286" s="23" t="inlineStr">
        <is>
          <t>Payable Invoice</t>
        </is>
      </c>
      <c r="C286" s="23" t="inlineStr">
        <is>
          <t>Sunshine Lorilla - Virtual Assistant (Admin Support) - Novembe '25</t>
        </is>
      </c>
      <c r="D286" s="23" t="inlineStr">
        <is>
          <t>for November '25</t>
        </is>
      </c>
      <c r="E286" s="24" t="n">
        <v>619.5</v>
      </c>
      <c r="F286" s="18" t="n">
        <v>0</v>
      </c>
      <c r="G286" s="18">
        <f>((G285 + E286) - F286)</f>
        <v/>
      </c>
      <c r="H286" s="18" t="n">
        <v>0</v>
      </c>
      <c r="I286" s="19" t="n">
        <v>0</v>
      </c>
      <c r="J286" s="20" t="inlineStr">
        <is>
          <t>GST Free Expenses</t>
        </is>
      </c>
    </row>
    <row r="287" ht="10.5" customHeight="1" s="93">
      <c r="A287" s="22" t="n">
        <v>45960</v>
      </c>
      <c r="B287" s="23" t="inlineStr">
        <is>
          <t>Payable Invoice</t>
        </is>
      </c>
      <c r="C287" s="23" t="inlineStr">
        <is>
          <t>Sunshine Lorilla - Virtual Assistant (Admin Support) - October '25</t>
        </is>
      </c>
      <c r="D287" s="23" t="inlineStr">
        <is>
          <t>for October '25</t>
        </is>
      </c>
      <c r="E287" s="24" t="n">
        <v>589.05</v>
      </c>
      <c r="F287" s="18" t="n">
        <v>0</v>
      </c>
      <c r="G287" s="18">
        <f>((G286 + E287) - F287)</f>
        <v/>
      </c>
      <c r="H287" s="18" t="n">
        <v>0</v>
      </c>
      <c r="I287" s="19" t="n">
        <v>0</v>
      </c>
      <c r="J287" s="20" t="inlineStr">
        <is>
          <t>GST Free Expenses</t>
        </is>
      </c>
    </row>
    <row r="288" ht="10.5" customHeight="1" s="93">
      <c r="A288" s="22" t="n">
        <v>45931</v>
      </c>
      <c r="B288" s="23" t="inlineStr">
        <is>
          <t>Payable Invoice</t>
        </is>
      </c>
      <c r="C288" s="23" t="inlineStr">
        <is>
          <t>Sunshine Lorilla - Virtual Assistant (Admin Support) - September 2025</t>
        </is>
      </c>
      <c r="D288" s="23" t="inlineStr">
        <is>
          <t>for September 2025</t>
        </is>
      </c>
      <c r="E288" s="24" t="n">
        <v>352.11</v>
      </c>
      <c r="F288" s="18" t="n">
        <v>0</v>
      </c>
      <c r="G288" s="18">
        <f>((G287 + E288) - F288)</f>
        <v/>
      </c>
      <c r="H288" s="18" t="n">
        <v>0</v>
      </c>
      <c r="I288" s="19" t="n">
        <v>0</v>
      </c>
      <c r="J288" s="20" t="inlineStr">
        <is>
          <t>GST Free Expenses</t>
        </is>
      </c>
    </row>
    <row r="289" ht="10.5" customHeight="1" s="93">
      <c r="A289" s="75" t="n">
        <v>46100</v>
      </c>
      <c r="B289" s="76" t="inlineStr">
        <is>
          <t>Spend Money</t>
        </is>
      </c>
      <c r="C289" s="76" t="inlineStr">
        <is>
          <t>Upwork - Blessing Salary</t>
        </is>
      </c>
      <c r="D289" s="76" t="n"/>
      <c r="E289" s="77" t="n">
        <v>1023.41</v>
      </c>
      <c r="F289" s="18" t="n">
        <v>0</v>
      </c>
      <c r="G289" s="18">
        <f>((G288 + E289) - F289)</f>
        <v/>
      </c>
      <c r="H289" s="18" t="n">
        <v>0</v>
      </c>
      <c r="I289" s="19" t="n">
        <v>0</v>
      </c>
      <c r="J289" s="20" t="inlineStr">
        <is>
          <t>GST Free Expenses</t>
        </is>
      </c>
    </row>
    <row r="290" ht="10.5" customHeight="1" s="93">
      <c r="A290" s="75" t="n">
        <v>46107</v>
      </c>
      <c r="B290" s="76" t="inlineStr">
        <is>
          <t>Spend Money</t>
        </is>
      </c>
      <c r="C290" s="76" t="inlineStr">
        <is>
          <t>Upwork - Blessing Salary</t>
        </is>
      </c>
      <c r="D290" s="76" t="n"/>
      <c r="E290" s="77" t="n">
        <v>663.16</v>
      </c>
      <c r="F290" s="18" t="n">
        <v>0</v>
      </c>
      <c r="G290" s="18">
        <f>((G289 + E290) - F290)</f>
        <v/>
      </c>
      <c r="H290" s="18" t="n">
        <v>0</v>
      </c>
      <c r="I290" s="19" t="n">
        <v>0</v>
      </c>
      <c r="J290" s="20" t="inlineStr">
        <is>
          <t>GST Free Expenses</t>
        </is>
      </c>
    </row>
    <row r="291" ht="10.5" customHeight="1" s="93">
      <c r="A291" s="75" t="n">
        <v>46142</v>
      </c>
      <c r="B291" s="76" t="inlineStr">
        <is>
          <t>Spend Money</t>
        </is>
      </c>
      <c r="C291" s="76" t="inlineStr">
        <is>
          <t>Upwork - Blessing Salary for April  2026</t>
        </is>
      </c>
      <c r="D291" s="76" t="n"/>
      <c r="E291" s="77" t="n">
        <v>824.8</v>
      </c>
      <c r="F291" s="18" t="n">
        <v>0</v>
      </c>
      <c r="G291" s="18">
        <f>((G290 + E291) - F291)</f>
        <v/>
      </c>
      <c r="H291" s="18" t="n">
        <v>0</v>
      </c>
      <c r="I291" s="19" t="n">
        <v>0</v>
      </c>
      <c r="J291" s="20" t="inlineStr">
        <is>
          <t>GST Free Expenses</t>
        </is>
      </c>
    </row>
    <row r="292" ht="10.5" customHeight="1" s="93">
      <c r="A292" s="75" t="n">
        <v>46121</v>
      </c>
      <c r="B292" s="76" t="inlineStr">
        <is>
          <t>Spend Money</t>
        </is>
      </c>
      <c r="C292" s="76" t="inlineStr">
        <is>
          <t>Upwork - Blessing Salary for April 2026</t>
        </is>
      </c>
      <c r="D292" s="76" t="n"/>
      <c r="E292" s="77" t="n">
        <v>684.46</v>
      </c>
      <c r="F292" s="18" t="n">
        <v>0</v>
      </c>
      <c r="G292" s="18">
        <f>((G291 + E292) - F292)</f>
        <v/>
      </c>
      <c r="H292" s="18" t="n">
        <v>0</v>
      </c>
      <c r="I292" s="19" t="n">
        <v>0</v>
      </c>
      <c r="J292" s="20" t="inlineStr">
        <is>
          <t>GST Free Expenses</t>
        </is>
      </c>
    </row>
    <row r="293" ht="10.5" customHeight="1" s="93">
      <c r="A293" s="75" t="n">
        <v>46128</v>
      </c>
      <c r="B293" s="76" t="inlineStr">
        <is>
          <t>Spend Money</t>
        </is>
      </c>
      <c r="C293" s="76" t="inlineStr">
        <is>
          <t>Upwork - Blessing Salary for April 2026</t>
        </is>
      </c>
      <c r="D293" s="76" t="n"/>
      <c r="E293" s="77" t="n">
        <v>900.1799999999999</v>
      </c>
      <c r="F293" s="18" t="n">
        <v>0</v>
      </c>
      <c r="G293" s="18">
        <f>((G292 + E293) - F293)</f>
        <v/>
      </c>
      <c r="H293" s="18" t="n">
        <v>0</v>
      </c>
      <c r="I293" s="19" t="n">
        <v>0</v>
      </c>
      <c r="J293" s="20" t="inlineStr">
        <is>
          <t>GST Free Expenses</t>
        </is>
      </c>
    </row>
    <row r="294" ht="10.5" customHeight="1" s="93">
      <c r="A294" s="75" t="n">
        <v>46135</v>
      </c>
      <c r="B294" s="76" t="inlineStr">
        <is>
          <t>Spend Money</t>
        </is>
      </c>
      <c r="C294" s="76" t="inlineStr">
        <is>
          <t>Upwork - Blessing Salary for April 2026</t>
        </is>
      </c>
      <c r="D294" s="76" t="n"/>
      <c r="E294" s="77" t="n">
        <v>648.66</v>
      </c>
      <c r="F294" s="18" t="n">
        <v>0</v>
      </c>
      <c r="G294" s="18">
        <f>((G293 + E294) - F294)</f>
        <v/>
      </c>
      <c r="H294" s="18" t="n">
        <v>0</v>
      </c>
      <c r="I294" s="19" t="n">
        <v>0</v>
      </c>
      <c r="J294" s="20" t="inlineStr">
        <is>
          <t>GST Free Expenses</t>
        </is>
      </c>
    </row>
    <row r="295" ht="21" customHeight="1" s="93">
      <c r="A295" s="75" t="n">
        <v>46114</v>
      </c>
      <c r="B295" s="76" t="inlineStr">
        <is>
          <t>Spend Money</t>
        </is>
      </c>
      <c r="C295" s="76" t="inlineStr">
        <is>
          <t>Upwork - Blessing Salary for March 2026</t>
        </is>
      </c>
      <c r="D295" s="76" t="n"/>
      <c r="E295" s="77" t="n">
        <v>710</v>
      </c>
      <c r="F295" s="18" t="n">
        <v>0</v>
      </c>
      <c r="G295" s="18">
        <f>((G294 + E295) - F295)</f>
        <v/>
      </c>
      <c r="H295" s="18" t="n">
        <v>0</v>
      </c>
      <c r="I295" s="19" t="n">
        <v>0</v>
      </c>
      <c r="J295" s="20" t="inlineStr">
        <is>
          <t>GST Free Expenses</t>
        </is>
      </c>
    </row>
    <row r="296" ht="10.5" customHeight="1" s="93">
      <c r="A296" s="75" t="n">
        <v>46149</v>
      </c>
      <c r="B296" s="76" t="inlineStr">
        <is>
          <t>Spend Money</t>
        </is>
      </c>
      <c r="C296" s="76" t="inlineStr">
        <is>
          <t>Upwork - Blessing Salary for May 2026</t>
        </is>
      </c>
      <c r="D296" s="76" t="n"/>
      <c r="E296" s="77" t="n">
        <v>1034.53</v>
      </c>
      <c r="F296" s="18" t="n">
        <v>0</v>
      </c>
      <c r="G296" s="18">
        <f>((G295 + E296) - F296)</f>
        <v/>
      </c>
      <c r="H296" s="18" t="n">
        <v>0</v>
      </c>
      <c r="I296" s="19" t="n">
        <v>0</v>
      </c>
      <c r="J296" s="20" t="inlineStr">
        <is>
          <t>GST Free Expenses</t>
        </is>
      </c>
    </row>
    <row r="297" ht="10.5" customHeight="1" s="93">
      <c r="A297" s="75" t="n">
        <v>46156</v>
      </c>
      <c r="B297" s="76" t="inlineStr">
        <is>
          <t>Spend Money</t>
        </is>
      </c>
      <c r="C297" s="76" t="inlineStr">
        <is>
          <t>Upwork - Blessing Salary for May 2026</t>
        </is>
      </c>
      <c r="D297" s="76" t="n"/>
      <c r="E297" s="77" t="n">
        <v>1036.71</v>
      </c>
      <c r="F297" s="18" t="n">
        <v>0</v>
      </c>
      <c r="G297" s="18">
        <f>((G296 + E297) - F297)</f>
        <v/>
      </c>
      <c r="H297" s="18" t="n">
        <v>0</v>
      </c>
      <c r="I297" s="19" t="n">
        <v>0</v>
      </c>
      <c r="J297" s="20" t="inlineStr">
        <is>
          <t>GST Free Expenses</t>
        </is>
      </c>
    </row>
    <row r="298" ht="10.5" customHeight="1" s="93">
      <c r="A298" s="75" t="n">
        <v>46163</v>
      </c>
      <c r="B298" s="76" t="inlineStr">
        <is>
          <t>Spend Money</t>
        </is>
      </c>
      <c r="C298" s="76" t="inlineStr">
        <is>
          <t>Upwork - Blessing Salary for May 2026</t>
        </is>
      </c>
      <c r="D298" s="76" t="n"/>
      <c r="E298" s="77" t="n">
        <v>1051.91</v>
      </c>
      <c r="F298" s="18" t="n">
        <v>0</v>
      </c>
      <c r="G298" s="18">
        <f>((G297 + E298) - F298)</f>
        <v/>
      </c>
      <c r="H298" s="18" t="n">
        <v>0</v>
      </c>
      <c r="I298" s="19" t="n">
        <v>0</v>
      </c>
      <c r="J298" s="20" t="inlineStr">
        <is>
          <t>GST Free Expenses</t>
        </is>
      </c>
    </row>
    <row r="299" ht="10.5" customHeight="1" s="93">
      <c r="A299" s="28" t="inlineStr">
        <is>
          <t>Total Contractors - Virtual Assistant</t>
        </is>
      </c>
      <c r="B299" s="28" t="n"/>
      <c r="C299" s="28" t="n"/>
      <c r="D299" s="28" t="n"/>
      <c r="E299" s="29">
        <f>SUM(E222:E298)</f>
        <v/>
      </c>
      <c r="F299" s="29">
        <f>SUM(F222:F298)</f>
        <v/>
      </c>
      <c r="G299" s="29">
        <f>G220</f>
        <v/>
      </c>
      <c r="H299" s="29">
        <f>SUM(H222:H298)</f>
        <v/>
      </c>
      <c r="I299" s="28" t="n"/>
      <c r="J299" s="28" t="n"/>
    </row>
    <row r="300" ht="10.5" customHeight="1" s="93">
      <c r="A300" s="28" t="inlineStr">
        <is>
          <t>Net movement</t>
        </is>
      </c>
      <c r="B300" s="28" t="n"/>
      <c r="C300" s="28" t="n"/>
      <c r="D300" s="28" t="n"/>
      <c r="E300" s="29" t="n">
        <v>73019.42</v>
      </c>
      <c r="F300" s="29" t="n">
        <v>0</v>
      </c>
      <c r="G300" s="29" t="n">
        <v>0</v>
      </c>
      <c r="H300" s="29" t="n">
        <v>0</v>
      </c>
      <c r="I300" s="28" t="n"/>
      <c r="J300" s="28" t="n"/>
    </row>
    <row r="301" ht="12.75" customHeight="1" s="93"/>
    <row r="302" ht="10.5" customHeight="1" s="93">
      <c r="A302" s="78" t="inlineStr">
        <is>
          <t>Total</t>
        </is>
      </c>
      <c r="B302" s="78" t="n"/>
      <c r="C302" s="78" t="n"/>
      <c r="D302" s="78" t="n"/>
      <c r="E302" s="79">
        <f>SUM(E23,E135,E171,E217,E299)</f>
        <v/>
      </c>
      <c r="F302" s="79">
        <f>SUM(F23,F135,F171,F217,F299)</f>
        <v/>
      </c>
      <c r="G302" s="79">
        <f>(E302 - F302)</f>
        <v/>
      </c>
      <c r="H302" s="79">
        <f>SUM(H23,H135,H171,H217,H299)</f>
        <v/>
      </c>
      <c r="I302" s="78" t="n"/>
      <c r="J302" s="78" t="n"/>
    </row>
    <row r="303" ht="11.25" customHeight="1" s="93"/>
    <row r="304" ht="11.25" customHeight="1" s="93"/>
    <row r="305" ht="11.25" customHeight="1" s="93"/>
    <row r="306" ht="11.25" customHeight="1" s="93"/>
    <row r="307" ht="11.25" customHeight="1" s="93"/>
    <row r="308" ht="11.25" customHeight="1" s="93"/>
    <row r="309" ht="11.25" customHeight="1" s="93"/>
    <row r="310" ht="11.25" customHeight="1" s="93"/>
    <row r="311" ht="11.25" customHeight="1" s="93"/>
    <row r="312" ht="11.25" customHeight="1" s="93"/>
    <row r="313" ht="11.25" customHeight="1" s="93"/>
    <row r="314" ht="11.25" customHeight="1" s="93"/>
    <row r="315" ht="11.25" customHeight="1" s="93"/>
    <row r="316" ht="11.25" customHeight="1" s="93"/>
    <row r="317" ht="11.25" customHeight="1" s="93"/>
    <row r="318" ht="11.25" customHeight="1" s="93"/>
    <row r="319" ht="11.25" customHeight="1" s="93"/>
    <row r="320" ht="11.25" customHeight="1" s="93"/>
    <row r="321" ht="11.25" customHeight="1" s="93"/>
    <row r="322" ht="11.25" customHeight="1" s="93"/>
    <row r="323" ht="11.25" customHeight="1" s="93"/>
    <row r="324" ht="11.25" customHeight="1" s="93"/>
    <row r="325" ht="11.25" customHeight="1" s="93"/>
    <row r="326" ht="11.25" customHeight="1" s="93"/>
    <row r="327" ht="11.25" customHeight="1" s="93"/>
    <row r="328" ht="11.25" customHeight="1" s="93"/>
    <row r="329" ht="11.25" customHeight="1" s="93"/>
    <row r="330" ht="11.25" customHeight="1" s="93"/>
    <row r="331" ht="11.25" customHeight="1" s="93"/>
    <row r="332" ht="11.25" customHeight="1" s="93"/>
    <row r="333" ht="11.25" customHeight="1" s="93"/>
    <row r="334" ht="11.25" customHeight="1" s="93"/>
    <row r="335" ht="11.25" customHeight="1" s="93"/>
    <row r="336" ht="11.25" customHeight="1" s="93"/>
    <row r="337" ht="11.25" customHeight="1" s="93"/>
    <row r="338" ht="11.25" customHeight="1" s="93"/>
    <row r="339" ht="11.25" customHeight="1" s="93"/>
    <row r="340" ht="11.25" customHeight="1" s="93"/>
    <row r="341" ht="11.25" customHeight="1" s="93"/>
    <row r="342" ht="11.25" customHeight="1" s="93"/>
    <row r="343" ht="11.25" customHeight="1" s="93"/>
    <row r="344" ht="11.25" customHeight="1" s="93"/>
    <row r="345" ht="11.25" customHeight="1" s="93"/>
    <row r="346" ht="11.25" customHeight="1" s="93"/>
    <row r="347" ht="11.25" customHeight="1" s="93"/>
    <row r="348" ht="11.25" customHeight="1" s="93"/>
    <row r="349" ht="11.25" customHeight="1" s="93"/>
    <row r="350" ht="11.25" customHeight="1" s="93"/>
    <row r="351" ht="11.25" customHeight="1" s="93"/>
    <row r="352" ht="11.25" customHeight="1" s="93"/>
    <row r="353" ht="11.25" customHeight="1" s="93"/>
    <row r="354" ht="11.25" customHeight="1" s="93"/>
    <row r="355" ht="11.25" customHeight="1" s="93"/>
    <row r="356" ht="11.25" customHeight="1" s="93"/>
    <row r="357" ht="11.25" customHeight="1" s="93"/>
    <row r="358" ht="11.25" customHeight="1" s="93"/>
    <row r="359" ht="11.25" customHeight="1" s="93"/>
    <row r="360" ht="11.25" customHeight="1" s="93"/>
    <row r="361" ht="11.25" customHeight="1" s="93"/>
    <row r="362" ht="11.25" customHeight="1" s="93"/>
    <row r="363" ht="11.25" customHeight="1" s="93"/>
    <row r="364" ht="11.25" customHeight="1" s="93"/>
    <row r="365" ht="11.25" customHeight="1" s="93"/>
    <row r="366" ht="11.25" customHeight="1" s="93"/>
    <row r="367" ht="11.25" customHeight="1" s="93"/>
    <row r="368" ht="11.25" customHeight="1" s="93"/>
    <row r="369" ht="11.25" customHeight="1" s="93"/>
    <row r="370" ht="11.25" customHeight="1" s="93"/>
    <row r="371" ht="11.25" customHeight="1" s="93"/>
    <row r="372" ht="11.25" customHeight="1" s="93"/>
    <row r="373" ht="11.25" customHeight="1" s="93"/>
    <row r="374" ht="11.25" customHeight="1" s="93"/>
    <row r="375" ht="11.25" customHeight="1" s="93"/>
    <row r="376" ht="11.25" customHeight="1" s="93"/>
    <row r="377" ht="11.25" customHeight="1" s="93"/>
    <row r="378" ht="11.25" customHeight="1" s="93"/>
    <row r="379" ht="11.25" customHeight="1" s="93"/>
    <row r="380" ht="11.25" customHeight="1" s="93"/>
    <row r="381" ht="11.25" customHeight="1" s="93"/>
    <row r="382" ht="11.25" customHeight="1" s="93"/>
    <row r="383" ht="11.25" customHeight="1" s="93"/>
    <row r="384" ht="11.25" customHeight="1" s="93"/>
    <row r="385" ht="11.25" customHeight="1" s="93"/>
    <row r="386" ht="11.25" customHeight="1" s="93"/>
    <row r="387" ht="11.25" customHeight="1" s="93"/>
    <row r="388" ht="11.25" customHeight="1" s="93"/>
    <row r="389" ht="11.25" customHeight="1" s="93"/>
    <row r="390" ht="11.25" customHeight="1" s="93"/>
    <row r="391" ht="11.25" customHeight="1" s="93"/>
    <row r="392" ht="11.25" customHeight="1" s="93"/>
    <row r="393" ht="11.25" customHeight="1" s="93"/>
    <row r="394" ht="11.25" customHeight="1" s="93"/>
    <row r="395" ht="11.25" customHeight="1" s="93"/>
    <row r="396" ht="11.25" customHeight="1" s="93"/>
    <row r="397" ht="11.25" customHeight="1" s="93"/>
    <row r="398" ht="11.25" customHeight="1" s="93"/>
    <row r="399" ht="11.25" customHeight="1" s="93"/>
    <row r="400" ht="11.25" customHeight="1" s="93"/>
    <row r="401" ht="11.25" customHeight="1" s="93"/>
    <row r="402" ht="11.25" customHeight="1" s="93"/>
    <row r="403" ht="11.25" customHeight="1" s="93"/>
    <row r="404" ht="11.25" customHeight="1" s="93"/>
    <row r="405" ht="11.25" customHeight="1" s="93"/>
    <row r="406" ht="11.25" customHeight="1" s="93"/>
    <row r="407" ht="11.25" customHeight="1" s="93"/>
    <row r="408" ht="11.25" customHeight="1" s="93"/>
    <row r="409" ht="11.25" customHeight="1" s="93"/>
    <row r="410" ht="11.25" customHeight="1" s="93"/>
    <row r="411" ht="11.25" customHeight="1" s="93"/>
    <row r="412" ht="11.25" customHeight="1" s="93"/>
    <row r="413" ht="11.25" customHeight="1" s="93"/>
    <row r="414" ht="11.25" customHeight="1" s="93"/>
    <row r="415" ht="11.25" customHeight="1" s="93"/>
    <row r="416" ht="11.25" customHeight="1" s="93"/>
    <row r="417" ht="11.25" customHeight="1" s="93"/>
    <row r="418" ht="11.25" customHeight="1" s="93"/>
    <row r="419" ht="11.25" customHeight="1" s="93"/>
    <row r="420" ht="11.25" customHeight="1" s="93"/>
    <row r="421" ht="11.25" customHeight="1" s="93"/>
    <row r="422" ht="11.25" customHeight="1" s="93"/>
    <row r="423" ht="11.25" customHeight="1" s="93"/>
    <row r="424" ht="11.25" customHeight="1" s="93"/>
    <row r="425" ht="11.25" customHeight="1" s="93"/>
    <row r="426" ht="11.25" customHeight="1" s="93"/>
    <row r="427" ht="11.25" customHeight="1" s="93"/>
    <row r="428" ht="11.25" customHeight="1" s="93"/>
    <row r="429" ht="11.25" customHeight="1" s="93"/>
    <row r="430" ht="11.25" customHeight="1" s="93"/>
    <row r="431" ht="11.25" customHeight="1" s="93"/>
    <row r="432" ht="11.25" customHeight="1" s="93"/>
    <row r="433" ht="11.25" customHeight="1" s="93"/>
    <row r="434" ht="11.25" customHeight="1" s="93"/>
    <row r="435" ht="11.25" customHeight="1" s="93"/>
    <row r="436" ht="11.25" customHeight="1" s="93"/>
    <row r="437" ht="11.25" customHeight="1" s="93"/>
    <row r="438" ht="11.25" customHeight="1" s="93"/>
    <row r="439" ht="11.25" customHeight="1" s="93"/>
    <row r="440" ht="11.25" customHeight="1" s="93"/>
    <row r="441" ht="11.25" customHeight="1" s="93"/>
    <row r="442" ht="11.25" customHeight="1" s="93"/>
    <row r="443" ht="11.25" customHeight="1" s="93"/>
    <row r="444" ht="11.25" customHeight="1" s="93"/>
    <row r="445" ht="11.25" customHeight="1" s="93"/>
    <row r="446" ht="11.25" customHeight="1" s="93"/>
    <row r="447" ht="11.25" customHeight="1" s="93"/>
    <row r="448" ht="11.25" customHeight="1" s="93"/>
    <row r="449" ht="11.25" customHeight="1" s="93"/>
    <row r="450" ht="11.25" customHeight="1" s="93"/>
    <row r="451" ht="11.25" customHeight="1" s="93"/>
    <row r="452" ht="11.25" customHeight="1" s="93"/>
    <row r="453" ht="11.25" customHeight="1" s="93"/>
    <row r="454" ht="11.25" customHeight="1" s="93"/>
    <row r="455" ht="11.25" customHeight="1" s="93"/>
    <row r="456" ht="11.25" customHeight="1" s="93"/>
    <row r="457" ht="11.25" customHeight="1" s="93"/>
    <row r="458" ht="11.25" customHeight="1" s="93"/>
    <row r="459" ht="11.25" customHeight="1" s="93"/>
    <row r="460" ht="11.25" customHeight="1" s="93"/>
    <row r="461" ht="11.25" customHeight="1" s="93"/>
    <row r="462" ht="11.25" customHeight="1" s="93"/>
    <row r="463" ht="11.25" customHeight="1" s="93"/>
    <row r="464" ht="11.25" customHeight="1" s="93"/>
    <row r="465" ht="11.25" customHeight="1" s="93"/>
    <row r="466" ht="11.25" customHeight="1" s="93"/>
    <row r="467" ht="11.25" customHeight="1" s="93"/>
    <row r="468" ht="11.25" customHeight="1" s="93"/>
    <row r="469" ht="11.25" customHeight="1" s="93"/>
    <row r="470" ht="11.25" customHeight="1" s="93"/>
    <row r="471" ht="11.25" customHeight="1" s="93"/>
    <row r="472" ht="11.25" customHeight="1" s="93"/>
    <row r="473" ht="11.25" customHeight="1" s="93"/>
    <row r="474" ht="11.25" customHeight="1" s="93"/>
    <row r="475" ht="11.25" customHeight="1" s="93"/>
    <row r="476" ht="11.25" customHeight="1" s="93"/>
    <row r="477" ht="11.25" customHeight="1" s="93"/>
    <row r="478" ht="11.25" customHeight="1" s="93"/>
    <row r="479" ht="11.25" customHeight="1" s="93"/>
    <row r="480" ht="11.25" customHeight="1" s="93"/>
    <row r="481" ht="11.25" customHeight="1" s="93"/>
    <row r="482" ht="11.25" customHeight="1" s="93"/>
    <row r="483" ht="11.25" customHeight="1" s="93"/>
    <row r="484" ht="11.25" customHeight="1" s="93"/>
    <row r="485" ht="11.25" customHeight="1" s="93"/>
    <row r="486" ht="11.25" customHeight="1" s="93"/>
    <row r="487" ht="11.25" customHeight="1" s="93"/>
    <row r="488" ht="11.25" customHeight="1" s="93"/>
    <row r="489" ht="11.25" customHeight="1" s="93"/>
    <row r="490" ht="11.25" customHeight="1" s="93"/>
    <row r="491" ht="11.25" customHeight="1" s="93"/>
    <row r="492" ht="11.25" customHeight="1" s="93"/>
    <row r="493" ht="11.25" customHeight="1" s="93"/>
    <row r="494" ht="11.25" customHeight="1" s="93"/>
    <row r="495" ht="11.25" customHeight="1" s="93"/>
    <row r="496" ht="11.25" customHeight="1" s="93"/>
    <row r="497" ht="11.25" customHeight="1" s="93"/>
    <row r="498" ht="11.25" customHeight="1" s="93"/>
    <row r="499" ht="11.25" customHeight="1" s="93"/>
    <row r="500" ht="11.25" customHeight="1" s="93"/>
    <row r="501" ht="11.25" customHeight="1" s="93"/>
    <row r="502" ht="11.25" customHeight="1" s="93"/>
    <row r="503" ht="11.25" customHeight="1" s="93"/>
    <row r="504" ht="11.25" customHeight="1" s="93"/>
    <row r="505" ht="11.25" customHeight="1" s="93"/>
    <row r="506" ht="11.25" customHeight="1" s="93"/>
    <row r="507" ht="11.25" customHeight="1" s="93"/>
    <row r="508" ht="11.25" customHeight="1" s="93"/>
    <row r="509" ht="11.25" customHeight="1" s="93"/>
    <row r="510" ht="11.25" customHeight="1" s="93"/>
    <row r="511" ht="11.25" customHeight="1" s="93"/>
    <row r="512" ht="11.25" customHeight="1" s="93"/>
    <row r="513" ht="11.25" customHeight="1" s="93"/>
    <row r="514" ht="11.25" customHeight="1" s="93"/>
    <row r="515" ht="11.25" customHeight="1" s="93"/>
    <row r="516" ht="11.25" customHeight="1" s="93"/>
    <row r="517" ht="11.25" customHeight="1" s="93"/>
    <row r="518" ht="11.25" customHeight="1" s="93"/>
    <row r="519" ht="11.25" customHeight="1" s="93"/>
    <row r="520" ht="11.25" customHeight="1" s="93"/>
    <row r="521" ht="11.25" customHeight="1" s="93"/>
    <row r="522" ht="11.25" customHeight="1" s="93"/>
    <row r="523" ht="11.25" customHeight="1" s="93"/>
    <row r="524" ht="11.25" customHeight="1" s="93"/>
    <row r="525" ht="11.25" customHeight="1" s="93"/>
    <row r="526" ht="11.25" customHeight="1" s="93"/>
    <row r="527" ht="11.25" customHeight="1" s="93"/>
    <row r="528" ht="11.25" customHeight="1" s="93"/>
    <row r="529" ht="11.25" customHeight="1" s="93"/>
    <row r="530" ht="11.25" customHeight="1" s="93"/>
    <row r="531" ht="11.25" customHeight="1" s="93"/>
    <row r="532" ht="11.25" customHeight="1" s="93"/>
    <row r="533" ht="11.25" customHeight="1" s="93"/>
    <row r="534" ht="11.25" customHeight="1" s="93"/>
    <row r="535" ht="11.25" customHeight="1" s="93"/>
    <row r="536" ht="11.25" customHeight="1" s="93"/>
    <row r="537" ht="11.25" customHeight="1" s="93"/>
    <row r="538" ht="11.25" customHeight="1" s="93"/>
    <row r="539" ht="11.25" customHeight="1" s="93"/>
    <row r="540" ht="11.25" customHeight="1" s="93"/>
    <row r="541" ht="11.25" customHeight="1" s="93"/>
    <row r="542" ht="11.25" customHeight="1" s="93"/>
    <row r="543" ht="11.25" customHeight="1" s="93"/>
    <row r="544" ht="11.25" customHeight="1" s="93"/>
    <row r="545" ht="11.25" customHeight="1" s="93"/>
    <row r="546" ht="11.25" customHeight="1" s="93"/>
    <row r="547" ht="11.25" customHeight="1" s="93"/>
    <row r="548" ht="11.25" customHeight="1" s="93"/>
    <row r="549" ht="11.25" customHeight="1" s="93"/>
    <row r="550" ht="11.25" customHeight="1" s="93"/>
    <row r="551" ht="11.25" customHeight="1" s="93"/>
    <row r="552" ht="11.25" customHeight="1" s="93"/>
    <row r="553" ht="11.25" customHeight="1" s="93"/>
    <row r="554" ht="11.25" customHeight="1" s="93"/>
    <row r="555" ht="11.25" customHeight="1" s="93"/>
    <row r="556" ht="11.25" customHeight="1" s="93"/>
    <row r="557" ht="11.25" customHeight="1" s="93"/>
    <row r="558" ht="11.25" customHeight="1" s="93"/>
    <row r="559" ht="11.25" customHeight="1" s="93"/>
    <row r="560" ht="11.25" customHeight="1" s="93"/>
    <row r="561" ht="11.25" customHeight="1" s="93"/>
    <row r="562" ht="11.25" customHeight="1" s="93"/>
    <row r="563" ht="11.25" customHeight="1" s="93"/>
    <row r="564" ht="11.25" customHeight="1" s="93"/>
    <row r="565" ht="11.25" customHeight="1" s="93"/>
    <row r="566" ht="11.25" customHeight="1" s="93"/>
    <row r="567" ht="11.25" customHeight="1" s="93"/>
    <row r="568" ht="11.25" customHeight="1" s="93"/>
    <row r="569" ht="11.25" customHeight="1" s="93"/>
    <row r="570" ht="11.25" customHeight="1" s="93"/>
    <row r="571" ht="11.25" customHeight="1" s="93"/>
    <row r="572" ht="11.25" customHeight="1" s="93"/>
    <row r="573" ht="11.25" customHeight="1" s="93"/>
    <row r="574" ht="11.25" customHeight="1" s="93"/>
    <row r="575" ht="11.25" customHeight="1" s="93"/>
    <row r="576" ht="11.25" customHeight="1" s="93"/>
    <row r="577" ht="11.25" customHeight="1" s="93"/>
    <row r="578" ht="11.25" customHeight="1" s="93"/>
    <row r="579" ht="11.25" customHeight="1" s="93"/>
    <row r="580" ht="11.25" customHeight="1" s="93"/>
    <row r="581" ht="11.25" customHeight="1" s="93"/>
    <row r="582" ht="11.25" customHeight="1" s="93"/>
    <row r="583" ht="11.25" customHeight="1" s="93"/>
    <row r="584" ht="11.25" customHeight="1" s="93"/>
    <row r="585" ht="11.25" customHeight="1" s="93"/>
    <row r="586" ht="11.25" customHeight="1" s="93"/>
    <row r="587" ht="11.25" customHeight="1" s="93"/>
    <row r="588" ht="11.25" customHeight="1" s="93"/>
    <row r="589" ht="11.25" customHeight="1" s="93"/>
    <row r="590" ht="11.25" customHeight="1" s="93"/>
    <row r="591" ht="11.25" customHeight="1" s="93"/>
    <row r="592" ht="11.25" customHeight="1" s="93"/>
    <row r="593" ht="11.25" customHeight="1" s="93"/>
    <row r="594" ht="11.25" customHeight="1" s="93"/>
    <row r="595" ht="11.25" customHeight="1" s="93"/>
    <row r="596" ht="11.25" customHeight="1" s="93"/>
    <row r="597" ht="11.25" customHeight="1" s="93"/>
    <row r="598" ht="11.25" customHeight="1" s="93"/>
    <row r="599" ht="11.25" customHeight="1" s="93"/>
    <row r="600" ht="11.25" customHeight="1" s="93"/>
    <row r="601" ht="11.25" customHeight="1" s="93"/>
    <row r="602" ht="11.25" customHeight="1" s="93"/>
    <row r="603" ht="11.25" customHeight="1" s="93"/>
    <row r="604" ht="11.25" customHeight="1" s="93"/>
    <row r="605" ht="11.25" customHeight="1" s="93"/>
    <row r="606" ht="11.25" customHeight="1" s="93"/>
    <row r="607" ht="11.25" customHeight="1" s="93"/>
    <row r="608" ht="11.25" customHeight="1" s="93"/>
    <row r="609" ht="11.25" customHeight="1" s="93"/>
    <row r="610" ht="11.25" customHeight="1" s="93"/>
    <row r="611" ht="11.25" customHeight="1" s="93"/>
    <row r="612" ht="11.25" customHeight="1" s="93"/>
    <row r="613" ht="11.25" customHeight="1" s="93"/>
    <row r="614" ht="11.25" customHeight="1" s="93"/>
    <row r="615" ht="11.25" customHeight="1" s="93"/>
    <row r="616" ht="11.25" customHeight="1" s="93"/>
    <row r="617" ht="11.25" customHeight="1" s="93"/>
    <row r="618" ht="11.25" customHeight="1" s="93"/>
    <row r="619" ht="11.25" customHeight="1" s="93"/>
    <row r="620" ht="11.25" customHeight="1" s="93"/>
    <row r="621" ht="11.25" customHeight="1" s="93"/>
    <row r="622" ht="11.25" customHeight="1" s="93"/>
    <row r="623" ht="11.25" customHeight="1" s="93"/>
    <row r="624" ht="11.25" customHeight="1" s="93"/>
    <row r="625" ht="11.25" customHeight="1" s="93"/>
    <row r="626" ht="11.25" customHeight="1" s="93"/>
    <row r="627" ht="11.25" customHeight="1" s="93"/>
    <row r="628" ht="11.25" customHeight="1" s="93"/>
    <row r="629" ht="11.25" customHeight="1" s="93"/>
    <row r="630" ht="11.25" customHeight="1" s="93"/>
    <row r="631" ht="11.25" customHeight="1" s="93"/>
    <row r="632" ht="11.25" customHeight="1" s="93"/>
    <row r="633" ht="11.25" customHeight="1" s="93"/>
    <row r="634" ht="11.25" customHeight="1" s="93"/>
    <row r="635" ht="11.25" customHeight="1" s="93"/>
    <row r="636" ht="11.25" customHeight="1" s="93"/>
    <row r="637" ht="11.25" customHeight="1" s="93"/>
    <row r="638" ht="11.25" customHeight="1" s="93"/>
    <row r="639" ht="11.25" customHeight="1" s="93"/>
    <row r="640" ht="11.25" customHeight="1" s="93"/>
    <row r="641" ht="11.25" customHeight="1" s="93"/>
    <row r="642" ht="11.25" customHeight="1" s="93"/>
    <row r="643" ht="11.25" customHeight="1" s="93"/>
    <row r="644" ht="11.25" customHeight="1" s="93"/>
    <row r="645" ht="11.25" customHeight="1" s="93"/>
    <row r="646" ht="11.25" customHeight="1" s="93"/>
    <row r="647" ht="11.25" customHeight="1" s="93"/>
    <row r="648" ht="11.25" customHeight="1" s="93"/>
    <row r="649" ht="11.25" customHeight="1" s="93"/>
    <row r="650" ht="11.25" customHeight="1" s="93"/>
    <row r="651" ht="11.25" customHeight="1" s="93"/>
    <row r="652" ht="11.25" customHeight="1" s="93"/>
    <row r="653" ht="11.25" customHeight="1" s="93"/>
    <row r="654" ht="11.25" customHeight="1" s="93"/>
    <row r="655" ht="11.25" customHeight="1" s="93"/>
    <row r="656" ht="11.25" customHeight="1" s="93"/>
    <row r="657" ht="11.25" customHeight="1" s="93"/>
    <row r="658" ht="11.25" customHeight="1" s="93"/>
    <row r="659" ht="11.25" customHeight="1" s="93"/>
    <row r="660" ht="11.25" customHeight="1" s="93"/>
    <row r="661" ht="11.25" customHeight="1" s="93"/>
    <row r="662" ht="11.25" customHeight="1" s="93"/>
    <row r="663" ht="11.25" customHeight="1" s="93"/>
    <row r="664" ht="11.25" customHeight="1" s="93"/>
    <row r="665" ht="11.25" customHeight="1" s="93"/>
    <row r="666" ht="11.25" customHeight="1" s="93"/>
    <row r="667" ht="11.25" customHeight="1" s="93"/>
    <row r="668" ht="11.25" customHeight="1" s="93"/>
    <row r="669" ht="11.25" customHeight="1" s="93"/>
    <row r="670" ht="11.25" customHeight="1" s="93"/>
    <row r="671" ht="11.25" customHeight="1" s="93"/>
    <row r="672" ht="11.25" customHeight="1" s="93"/>
    <row r="673" ht="11.25" customHeight="1" s="93"/>
    <row r="674" ht="11.25" customHeight="1" s="93"/>
    <row r="675" ht="11.25" customHeight="1" s="93"/>
    <row r="676" ht="11.25" customHeight="1" s="93"/>
    <row r="677" ht="11.25" customHeight="1" s="93"/>
    <row r="678" ht="11.25" customHeight="1" s="93"/>
    <row r="679" ht="11.25" customHeight="1" s="93"/>
    <row r="680" ht="11.25" customHeight="1" s="93"/>
    <row r="681" ht="11.25" customHeight="1" s="93"/>
    <row r="682" ht="11.25" customHeight="1" s="93"/>
    <row r="683" ht="11.25" customHeight="1" s="93"/>
    <row r="684" ht="11.25" customHeight="1" s="93"/>
    <row r="685" ht="11.25" customHeight="1" s="93"/>
    <row r="686" ht="11.25" customHeight="1" s="93"/>
    <row r="687" ht="11.25" customHeight="1" s="93"/>
    <row r="688" ht="11.25" customHeight="1" s="93"/>
    <row r="689" ht="11.25" customHeight="1" s="93"/>
    <row r="690" ht="11.25" customHeight="1" s="93"/>
    <row r="691" ht="11.25" customHeight="1" s="93"/>
    <row r="692" ht="11.25" customHeight="1" s="93"/>
    <row r="693" ht="11.25" customHeight="1" s="93"/>
    <row r="694" ht="11.25" customHeight="1" s="93"/>
    <row r="695" ht="11.25" customHeight="1" s="93"/>
    <row r="696" ht="11.25" customHeight="1" s="93"/>
    <row r="697" ht="11.25" customHeight="1" s="93"/>
    <row r="698" ht="11.25" customHeight="1" s="93"/>
    <row r="699" ht="11.25" customHeight="1" s="93"/>
    <row r="700" ht="11.25" customHeight="1" s="93"/>
    <row r="701" ht="11.25" customHeight="1" s="93"/>
    <row r="702" ht="11.25" customHeight="1" s="93"/>
    <row r="703" ht="11.25" customHeight="1" s="93"/>
    <row r="704" ht="11.25" customHeight="1" s="93"/>
    <row r="705" ht="11.25" customHeight="1" s="93"/>
    <row r="706" ht="11.25" customHeight="1" s="93"/>
    <row r="707" ht="11.25" customHeight="1" s="93"/>
    <row r="708" ht="11.25" customHeight="1" s="93"/>
    <row r="709" ht="11.25" customHeight="1" s="93"/>
    <row r="710" ht="11.25" customHeight="1" s="93"/>
    <row r="711" ht="11.25" customHeight="1" s="93"/>
    <row r="712" ht="11.25" customHeight="1" s="93"/>
    <row r="713" ht="11.25" customHeight="1" s="93"/>
    <row r="714" ht="11.25" customHeight="1" s="93"/>
    <row r="715" ht="11.25" customHeight="1" s="93"/>
    <row r="716" ht="11.25" customHeight="1" s="93"/>
    <row r="717" ht="11.25" customHeight="1" s="93"/>
    <row r="718" ht="11.25" customHeight="1" s="93"/>
    <row r="719" ht="11.25" customHeight="1" s="93"/>
    <row r="720" ht="11.25" customHeight="1" s="93"/>
    <row r="721" ht="11.25" customHeight="1" s="93"/>
    <row r="722" ht="11.25" customHeight="1" s="93"/>
    <row r="723" ht="11.25" customHeight="1" s="93"/>
    <row r="724" ht="11.25" customHeight="1" s="93"/>
    <row r="725" ht="11.25" customHeight="1" s="93"/>
    <row r="726" ht="11.25" customHeight="1" s="93"/>
    <row r="727" ht="11.25" customHeight="1" s="93"/>
    <row r="728" ht="11.25" customHeight="1" s="93"/>
    <row r="729" ht="11.25" customHeight="1" s="93"/>
    <row r="730" ht="11.25" customHeight="1" s="93"/>
    <row r="731" ht="11.25" customHeight="1" s="93"/>
    <row r="732" ht="11.25" customHeight="1" s="93"/>
    <row r="733" ht="11.25" customHeight="1" s="93"/>
    <row r="734" ht="11.25" customHeight="1" s="93"/>
    <row r="735" ht="11.25" customHeight="1" s="93"/>
    <row r="736" ht="11.25" customHeight="1" s="93"/>
    <row r="737" ht="11.25" customHeight="1" s="93"/>
    <row r="738" ht="11.25" customHeight="1" s="93"/>
    <row r="739" ht="11.25" customHeight="1" s="93"/>
    <row r="740" ht="11.25" customHeight="1" s="93"/>
    <row r="741" ht="11.25" customHeight="1" s="93"/>
    <row r="742" ht="11.25" customHeight="1" s="93"/>
    <row r="743" ht="11.25" customHeight="1" s="93"/>
    <row r="744" ht="11.25" customHeight="1" s="93"/>
    <row r="745" ht="11.25" customHeight="1" s="93"/>
    <row r="746" ht="11.25" customHeight="1" s="93"/>
    <row r="747" ht="11.25" customHeight="1" s="93"/>
    <row r="748" ht="11.25" customHeight="1" s="93"/>
    <row r="749" ht="11.25" customHeight="1" s="93"/>
    <row r="750" ht="11.25" customHeight="1" s="93"/>
    <row r="751" ht="11.25" customHeight="1" s="93"/>
    <row r="752" ht="11.25" customHeight="1" s="93"/>
    <row r="753" ht="11.25" customHeight="1" s="93"/>
    <row r="754" ht="11.25" customHeight="1" s="93"/>
    <row r="755" ht="11.25" customHeight="1" s="93"/>
    <row r="756" ht="11.25" customHeight="1" s="93"/>
    <row r="757" ht="11.25" customHeight="1" s="93"/>
    <row r="758" ht="11.25" customHeight="1" s="93"/>
    <row r="759" ht="11.25" customHeight="1" s="93"/>
    <row r="760" ht="11.25" customHeight="1" s="93"/>
    <row r="761" ht="11.25" customHeight="1" s="93"/>
    <row r="762" ht="11.25" customHeight="1" s="93"/>
    <row r="763" ht="11.25" customHeight="1" s="93"/>
    <row r="764" ht="11.25" customHeight="1" s="93"/>
    <row r="765" ht="11.25" customHeight="1" s="93"/>
    <row r="766" ht="11.25" customHeight="1" s="93"/>
    <row r="767" ht="11.25" customHeight="1" s="93"/>
    <row r="768" ht="11.25" customHeight="1" s="93"/>
    <row r="769" ht="11.25" customHeight="1" s="93"/>
    <row r="770" ht="11.25" customHeight="1" s="93"/>
    <row r="771" ht="11.25" customHeight="1" s="93"/>
    <row r="772" ht="11.25" customHeight="1" s="93"/>
    <row r="773" ht="11.25" customHeight="1" s="93"/>
    <row r="774" ht="11.25" customHeight="1" s="93"/>
    <row r="775" ht="11.25" customHeight="1" s="93"/>
    <row r="776" ht="11.25" customHeight="1" s="93"/>
    <row r="777" ht="11.25" customHeight="1" s="93"/>
    <row r="778" ht="11.25" customHeight="1" s="93"/>
    <row r="779" ht="11.25" customHeight="1" s="93"/>
    <row r="780" ht="11.25" customHeight="1" s="93"/>
    <row r="781" ht="11.25" customHeight="1" s="93"/>
    <row r="782" ht="11.25" customHeight="1" s="93"/>
    <row r="783" ht="11.25" customHeight="1" s="93"/>
    <row r="784" ht="11.25" customHeight="1" s="93"/>
    <row r="785" ht="11.25" customHeight="1" s="93"/>
    <row r="786" ht="11.25" customHeight="1" s="93"/>
    <row r="787" ht="11.25" customHeight="1" s="93"/>
    <row r="788" ht="11.25" customHeight="1" s="93"/>
    <row r="789" ht="11.25" customHeight="1" s="93"/>
    <row r="790" ht="11.25" customHeight="1" s="93"/>
    <row r="791" ht="11.25" customHeight="1" s="93"/>
    <row r="792" ht="11.25" customHeight="1" s="93"/>
    <row r="793" ht="11.25" customHeight="1" s="93"/>
    <row r="794" ht="11.25" customHeight="1" s="93"/>
    <row r="795" ht="11.25" customHeight="1" s="93"/>
    <row r="796" ht="11.25" customHeight="1" s="93"/>
    <row r="797" ht="11.25" customHeight="1" s="93"/>
    <row r="798" ht="11.25" customHeight="1" s="93"/>
    <row r="799" ht="11.25" customHeight="1" s="93"/>
    <row r="800" ht="11.25" customHeight="1" s="93"/>
    <row r="801" ht="11.25" customHeight="1" s="93"/>
    <row r="802" ht="11.25" customHeight="1" s="93"/>
    <row r="803" ht="11.25" customHeight="1" s="93"/>
    <row r="804" ht="11.25" customHeight="1" s="93"/>
    <row r="805" ht="11.25" customHeight="1" s="93"/>
    <row r="806" ht="11.25" customHeight="1" s="93"/>
    <row r="807" ht="11.25" customHeight="1" s="93"/>
    <row r="808" ht="11.25" customHeight="1" s="93"/>
    <row r="809" ht="11.25" customHeight="1" s="93"/>
    <row r="810" ht="11.25" customHeight="1" s="93"/>
    <row r="811" ht="11.25" customHeight="1" s="93"/>
    <row r="812" ht="11.25" customHeight="1" s="93"/>
    <row r="813" ht="11.25" customHeight="1" s="93"/>
    <row r="814" ht="11.25" customHeight="1" s="93"/>
    <row r="815" ht="11.25" customHeight="1" s="93"/>
    <row r="816" ht="11.25" customHeight="1" s="93"/>
    <row r="817" ht="11.25" customHeight="1" s="93"/>
    <row r="818" ht="11.25" customHeight="1" s="93"/>
    <row r="819" ht="11.25" customHeight="1" s="93"/>
    <row r="820" ht="11.25" customHeight="1" s="93"/>
    <row r="821" ht="11.25" customHeight="1" s="93"/>
    <row r="822" ht="11.25" customHeight="1" s="93"/>
    <row r="823" ht="11.25" customHeight="1" s="93"/>
    <row r="824" ht="11.25" customHeight="1" s="93"/>
    <row r="825" ht="11.25" customHeight="1" s="93"/>
    <row r="826" ht="11.25" customHeight="1" s="93"/>
    <row r="827" ht="11.25" customHeight="1" s="93"/>
    <row r="828" ht="11.25" customHeight="1" s="93"/>
    <row r="829" ht="11.25" customHeight="1" s="93"/>
    <row r="830" ht="11.25" customHeight="1" s="93"/>
    <row r="831" ht="11.25" customHeight="1" s="93"/>
    <row r="832" ht="11.25" customHeight="1" s="93"/>
    <row r="833" ht="11.25" customHeight="1" s="93"/>
    <row r="834" ht="11.25" customHeight="1" s="93"/>
    <row r="835" ht="11.25" customHeight="1" s="93"/>
    <row r="836" ht="11.25" customHeight="1" s="93"/>
    <row r="837" ht="11.25" customHeight="1" s="93"/>
    <row r="838" ht="11.25" customHeight="1" s="93"/>
    <row r="839" ht="11.25" customHeight="1" s="93"/>
    <row r="840" ht="11.25" customHeight="1" s="93"/>
    <row r="841" ht="11.25" customHeight="1" s="93"/>
    <row r="842" ht="11.25" customHeight="1" s="93"/>
    <row r="843" ht="11.25" customHeight="1" s="93"/>
    <row r="844" ht="11.25" customHeight="1" s="93"/>
    <row r="845" ht="11.25" customHeight="1" s="93"/>
    <row r="846" ht="11.25" customHeight="1" s="93"/>
    <row r="847" ht="11.25" customHeight="1" s="93"/>
    <row r="848" ht="11.25" customHeight="1" s="93"/>
    <row r="849" ht="11.25" customHeight="1" s="93"/>
    <row r="850" ht="11.25" customHeight="1" s="93"/>
    <row r="851" ht="11.25" customHeight="1" s="93"/>
    <row r="852" ht="11.25" customHeight="1" s="93"/>
    <row r="853" ht="11.25" customHeight="1" s="93"/>
    <row r="854" ht="11.25" customHeight="1" s="93"/>
    <row r="855" ht="11.25" customHeight="1" s="93"/>
    <row r="856" ht="11.25" customHeight="1" s="93"/>
    <row r="857" ht="11.25" customHeight="1" s="93"/>
    <row r="858" ht="11.25" customHeight="1" s="93"/>
    <row r="859" ht="11.25" customHeight="1" s="93"/>
    <row r="860" ht="11.25" customHeight="1" s="93"/>
    <row r="861" ht="11.25" customHeight="1" s="93"/>
    <row r="862" ht="11.25" customHeight="1" s="93"/>
    <row r="863" ht="11.25" customHeight="1" s="93"/>
    <row r="864" ht="11.25" customHeight="1" s="93"/>
    <row r="865" ht="11.25" customHeight="1" s="93"/>
    <row r="866" ht="11.25" customHeight="1" s="93"/>
    <row r="867" ht="11.25" customHeight="1" s="93"/>
    <row r="868" ht="11.25" customHeight="1" s="93"/>
    <row r="869" ht="11.25" customHeight="1" s="93"/>
    <row r="870" ht="11.25" customHeight="1" s="93"/>
    <row r="871" ht="11.25" customHeight="1" s="93"/>
    <row r="872" ht="11.25" customHeight="1" s="93"/>
    <row r="873" ht="11.25" customHeight="1" s="93"/>
    <row r="874" ht="11.25" customHeight="1" s="93"/>
    <row r="875" ht="11.25" customHeight="1" s="93"/>
    <row r="876" ht="11.25" customHeight="1" s="93"/>
    <row r="877" ht="11.25" customHeight="1" s="93"/>
    <row r="878" ht="11.25" customHeight="1" s="93"/>
    <row r="879" ht="11.25" customHeight="1" s="93"/>
    <row r="880" ht="11.25" customHeight="1" s="93"/>
    <row r="881" ht="11.25" customHeight="1" s="93"/>
    <row r="882" ht="11.25" customHeight="1" s="93"/>
    <row r="883" ht="11.25" customHeight="1" s="93"/>
    <row r="884" ht="11.25" customHeight="1" s="93"/>
    <row r="885" ht="11.25" customHeight="1" s="93"/>
    <row r="886" ht="11.25" customHeight="1" s="93"/>
    <row r="887" ht="11.25" customHeight="1" s="93"/>
    <row r="888" ht="11.25" customHeight="1" s="93"/>
    <row r="889" ht="11.25" customHeight="1" s="93"/>
    <row r="890" ht="11.25" customHeight="1" s="93"/>
    <row r="891" ht="11.25" customHeight="1" s="93"/>
    <row r="892" ht="11.25" customHeight="1" s="93"/>
    <row r="893" ht="11.25" customHeight="1" s="93"/>
    <row r="894" ht="11.25" customHeight="1" s="93"/>
    <row r="895" ht="11.25" customHeight="1" s="93"/>
    <row r="896" ht="11.25" customHeight="1" s="93"/>
    <row r="897" ht="11.25" customHeight="1" s="93"/>
    <row r="898" ht="11.25" customHeight="1" s="93"/>
    <row r="899" ht="11.25" customHeight="1" s="93"/>
    <row r="900" ht="11.25" customHeight="1" s="93"/>
    <row r="901" ht="11.25" customHeight="1" s="93"/>
    <row r="902" ht="11.25" customHeight="1" s="93"/>
    <row r="903" ht="11.25" customHeight="1" s="93"/>
    <row r="904" ht="11.25" customHeight="1" s="93"/>
    <row r="905" ht="11.25" customHeight="1" s="93"/>
    <row r="906" ht="11.25" customHeight="1" s="93"/>
    <row r="907" ht="11.25" customHeight="1" s="93"/>
    <row r="908" ht="11.25" customHeight="1" s="93"/>
    <row r="909" ht="11.25" customHeight="1" s="93"/>
    <row r="910" ht="11.25" customHeight="1" s="93"/>
    <row r="911" ht="11.25" customHeight="1" s="93"/>
    <row r="912" ht="11.25" customHeight="1" s="93"/>
    <row r="913" ht="11.25" customHeight="1" s="93"/>
    <row r="914" ht="11.25" customHeight="1" s="93"/>
    <row r="915" ht="11.25" customHeight="1" s="93"/>
    <row r="916" ht="11.25" customHeight="1" s="93"/>
    <row r="917" ht="11.25" customHeight="1" s="93"/>
    <row r="918" ht="11.25" customHeight="1" s="93"/>
    <row r="919" ht="11.25" customHeight="1" s="93"/>
    <row r="920" ht="11.25" customHeight="1" s="93"/>
    <row r="921" ht="11.25" customHeight="1" s="93"/>
    <row r="922" ht="11.25" customHeight="1" s="93"/>
    <row r="923" ht="11.25" customHeight="1" s="93"/>
    <row r="924" ht="11.25" customHeight="1" s="93"/>
    <row r="925" ht="11.25" customHeight="1" s="93"/>
    <row r="926" ht="11.25" customHeight="1" s="93"/>
    <row r="927" ht="11.25" customHeight="1" s="93"/>
    <row r="928" ht="11.25" customHeight="1" s="93"/>
    <row r="929" ht="11.25" customHeight="1" s="93"/>
    <row r="930" ht="11.25" customHeight="1" s="93"/>
    <row r="931" ht="11.25" customHeight="1" s="93"/>
    <row r="932" ht="11.25" customHeight="1" s="93"/>
    <row r="933" ht="11.25" customHeight="1" s="93"/>
    <row r="934" ht="11.25" customHeight="1" s="93"/>
    <row r="935" ht="11.25" customHeight="1" s="93"/>
    <row r="936" ht="11.25" customHeight="1" s="93"/>
    <row r="937" ht="11.25" customHeight="1" s="93"/>
    <row r="938" ht="11.25" customHeight="1" s="93"/>
    <row r="939" ht="11.25" customHeight="1" s="93"/>
    <row r="940" ht="11.25" customHeight="1" s="93"/>
    <row r="941" ht="11.25" customHeight="1" s="93"/>
    <row r="942" ht="11.25" customHeight="1" s="93"/>
    <row r="943" ht="11.25" customHeight="1" s="93"/>
    <row r="944" ht="11.25" customHeight="1" s="93"/>
    <row r="945" ht="11.25" customHeight="1" s="93"/>
    <row r="946" ht="11.25" customHeight="1" s="93"/>
    <row r="947" ht="11.25" customHeight="1" s="93"/>
    <row r="948" ht="11.25" customHeight="1" s="93"/>
    <row r="949" ht="11.25" customHeight="1" s="93"/>
    <row r="950" ht="11.25" customHeight="1" s="93"/>
    <row r="951" ht="11.25" customHeight="1" s="93"/>
    <row r="952" ht="11.25" customHeight="1" s="93"/>
    <row r="953" ht="11.25" customHeight="1" s="93"/>
    <row r="954" ht="11.25" customHeight="1" s="93"/>
    <row r="955" ht="11.25" customHeight="1" s="93"/>
    <row r="956" ht="11.25" customHeight="1" s="93"/>
    <row r="957" ht="11.25" customHeight="1" s="93"/>
    <row r="958" ht="11.25" customHeight="1" s="93"/>
    <row r="959" ht="11.25" customHeight="1" s="93"/>
    <row r="960" ht="11.25" customHeight="1" s="93"/>
    <row r="961" ht="11.25" customHeight="1" s="93"/>
    <row r="962" ht="11.25" customHeight="1" s="93"/>
    <row r="963" ht="11.25" customHeight="1" s="93"/>
    <row r="964" ht="11.25" customHeight="1" s="93"/>
    <row r="965" ht="11.25" customHeight="1" s="93"/>
    <row r="966" ht="11.25" customHeight="1" s="93"/>
    <row r="967" ht="11.25" customHeight="1" s="93"/>
    <row r="968" ht="11.25" customHeight="1" s="93"/>
    <row r="969" ht="11.25" customHeight="1" s="93"/>
    <row r="970" ht="11.25" customHeight="1" s="93"/>
    <row r="971" ht="11.25" customHeight="1" s="93"/>
    <row r="972" ht="11.25" customHeight="1" s="93"/>
    <row r="973" ht="11.25" customHeight="1" s="93"/>
    <row r="974" ht="11.25" customHeight="1" s="93"/>
    <row r="975" ht="11.25" customHeight="1" s="93"/>
    <row r="976" ht="11.25" customHeight="1" s="93"/>
    <row r="977" ht="11.25" customHeight="1" s="93"/>
    <row r="978" ht="11.25" customHeight="1" s="93"/>
    <row r="979" ht="11.25" customHeight="1" s="93"/>
    <row r="980" ht="11.25" customHeight="1" s="93"/>
    <row r="981" ht="11.25" customHeight="1" s="93"/>
    <row r="982" ht="11.25" customHeight="1" s="93"/>
    <row r="983" ht="11.25" customHeight="1" s="93"/>
    <row r="984" ht="11.25" customHeight="1" s="93"/>
    <row r="985" ht="11.25" customHeight="1" s="93"/>
    <row r="986" ht="11.25" customHeight="1" s="93"/>
    <row r="987" ht="11.25" customHeight="1" s="93"/>
    <row r="988" ht="11.25" customHeight="1" s="93"/>
    <row r="989" ht="11.25" customHeight="1" s="93"/>
    <row r="990" ht="11.25" customHeight="1" s="93"/>
    <row r="991" ht="11.25" customHeight="1" s="93"/>
    <row r="992" ht="11.25" customHeight="1" s="93"/>
    <row r="993" ht="11.25" customHeight="1" s="93"/>
    <row r="994" ht="11.25" customHeight="1" s="93"/>
    <row r="995" ht="11.25" customHeight="1" s="93"/>
    <row r="996" ht="11.25" customHeight="1" s="93"/>
    <row r="997" ht="11.25" customHeight="1" s="93"/>
    <row r="998" ht="11.25" customHeight="1" s="93"/>
    <row r="999" ht="11.25" customHeight="1" s="93"/>
    <row r="1000" ht="11.25" customHeight="1" s="93"/>
  </sheetData>
  <autoFilter ref="$A$175:$J$216"/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4.43" defaultRowHeight="15" customHeight="1"/>
  <cols>
    <col width="15.43" customWidth="1" style="93" min="1" max="1"/>
    <col width="15.14" customWidth="1" style="93" min="2" max="2"/>
    <col width="10.43" customWidth="1" style="93" min="3" max="3"/>
    <col width="8.710000000000001" customWidth="1" style="93" min="4" max="5"/>
    <col width="16.86" customWidth="1" style="93" min="6" max="6"/>
    <col width="6.86" customWidth="1" style="93" min="7" max="7"/>
    <col width="20.14" customWidth="1" style="93" min="8" max="9"/>
    <col width="24.29" customWidth="1" style="93" min="10" max="10"/>
    <col width="10.43" customWidth="1" style="93" min="11" max="11"/>
    <col width="24.29" customWidth="1" style="93" min="12" max="13"/>
    <col width="30.29" customWidth="1" style="93" min="14" max="14"/>
    <col width="36" customWidth="1" style="93" min="15" max="15"/>
    <col width="29.14" customWidth="1" style="93" min="16" max="16"/>
    <col width="33.86" customWidth="1" style="93" min="17" max="17"/>
    <col width="24.71" customWidth="1" style="93" min="18" max="18"/>
    <col width="24.86" customWidth="1" style="93" min="19" max="19"/>
    <col width="8.710000000000001" customWidth="1" style="93" min="20" max="27"/>
  </cols>
  <sheetData>
    <row r="1" ht="55.5" customHeight="1" s="93">
      <c r="A1" s="90" t="inlineStr">
        <is>
          <t>What do they do</t>
        </is>
      </c>
      <c r="B1" s="90" t="inlineStr">
        <is>
          <t>Name</t>
        </is>
      </c>
      <c r="C1" s="81" t="inlineStr">
        <is>
          <t xml:space="preserve">Fees </t>
        </is>
      </c>
      <c r="D1" s="90" t="inlineStr">
        <is>
          <t xml:space="preserve">Entity </t>
        </is>
      </c>
      <c r="E1" s="90" t="inlineStr">
        <is>
          <t>Risk</t>
        </is>
      </c>
      <c r="F1" s="90" t="inlineStr">
        <is>
          <t>ABN</t>
        </is>
      </c>
      <c r="G1" s="82" t="inlineStr">
        <is>
          <t>Check if valid</t>
        </is>
      </c>
      <c r="H1" s="83" t="inlineStr">
        <is>
          <t>Status: Active or offboarded</t>
        </is>
      </c>
      <c r="I1" s="84" t="inlineStr">
        <is>
          <t>Australian resident or overseas</t>
        </is>
      </c>
      <c r="J1" s="84" t="inlineStr">
        <is>
          <t>Do they perform more than 30 hours a week for you?</t>
        </is>
      </c>
      <c r="K1" s="84" t="inlineStr">
        <is>
          <t>Do you have a contract in place?</t>
        </is>
      </c>
      <c r="L1" s="84" t="inlineStr">
        <is>
          <t>Payment: Do you pay them directly or a labour hire firm.</t>
        </is>
      </c>
      <c r="M1" s="84" t="inlineStr">
        <is>
          <t>Control: Does your business have legal right to control how, where an when the worker does their work</t>
        </is>
      </c>
      <c r="N1" s="84" t="inlineStr">
        <is>
          <t>Integration: the worker serves in your business. They are contractually required to perform work as a representative of your business.</t>
        </is>
      </c>
      <c r="O1" s="84" t="inlineStr">
        <is>
          <t>Mode of remuneration: are they paid either for their time worked, a price per item or activity or commission or are they paid for a fixed fe or for a specific result.</t>
        </is>
      </c>
      <c r="P1" s="84" t="inlineStr">
        <is>
          <t>Is there a clause in the contract where it does not allow them to delegate or subcontract their work.</t>
        </is>
      </c>
      <c r="Q1" s="84" t="inlineStr">
        <is>
          <t>Does your business provide the equipment for them to do the work or do they have their own and you reimburse them for the expenses incurred.</t>
        </is>
      </c>
      <c r="R1" s="84" t="inlineStr">
        <is>
          <t>Risk: Workers bear little to no risk, your business bears the commercial risk for any cost arising out of injury of defect for work.</t>
        </is>
      </c>
      <c r="S1" s="84" t="inlineStr">
        <is>
          <t>Generation of goodwill. Your business benefits from any goodwill arising from the work of the worker.</t>
        </is>
      </c>
    </row>
    <row r="2" ht="11.25" customHeight="1" s="93">
      <c r="A2" s="90" t="inlineStr">
        <is>
          <t>Coach</t>
        </is>
      </c>
      <c r="B2" s="89" t="inlineStr">
        <is>
          <t>Faith is  My Middle Name</t>
        </is>
      </c>
      <c r="C2" s="85">
        <f>SUM('General Ledger Detail'!E8:E19)</f>
        <v/>
      </c>
      <c r="D2" s="89" t="inlineStr">
        <is>
          <t>Individual</t>
        </is>
      </c>
      <c r="E2" s="86" t="inlineStr">
        <is>
          <t>Yes</t>
        </is>
      </c>
      <c r="F2" s="87" t="n"/>
      <c r="G2" s="88" t="n"/>
      <c r="H2" s="89" t="inlineStr">
        <is>
          <t>Active</t>
        </is>
      </c>
      <c r="I2" s="89" t="inlineStr">
        <is>
          <t>australian resident</t>
        </is>
      </c>
      <c r="J2" s="89" t="inlineStr">
        <is>
          <t>less</t>
        </is>
      </c>
      <c r="K2" s="89" t="inlineStr">
        <is>
          <t>yes</t>
        </is>
      </c>
      <c r="L2" s="89" t="inlineStr">
        <is>
          <t>directly</t>
        </is>
      </c>
      <c r="M2" s="89" t="inlineStr">
        <is>
          <t>no</t>
        </is>
      </c>
      <c r="O2" s="89" t="inlineStr">
        <is>
          <t>hourly for coaching and commissions for sales and item based for events</t>
        </is>
      </c>
    </row>
    <row r="3" ht="11.25" customHeight="1" s="93">
      <c r="A3" s="90" t="inlineStr">
        <is>
          <t>Content</t>
        </is>
      </c>
      <c r="B3" s="86" t="inlineStr">
        <is>
          <t>Ace Sevilla</t>
        </is>
      </c>
      <c r="C3" s="85">
        <f>SUM('General Ledger Detail'!E27:E37)</f>
        <v/>
      </c>
      <c r="D3" s="89" t="inlineStr">
        <is>
          <t>Individual</t>
        </is>
      </c>
      <c r="E3" s="86" t="inlineStr">
        <is>
          <t>Yes</t>
        </is>
      </c>
      <c r="F3" s="87" t="n"/>
      <c r="G3" s="88" t="n"/>
      <c r="H3" s="89" t="inlineStr">
        <is>
          <t>Active</t>
        </is>
      </c>
      <c r="I3" s="89" t="inlineStr">
        <is>
          <t>overseas</t>
        </is>
      </c>
      <c r="J3" s="89" t="inlineStr">
        <is>
          <t>less</t>
        </is>
      </c>
      <c r="K3" s="0" t="inlineStr">
        <is>
          <t>yes</t>
        </is>
      </c>
      <c r="L3" s="89" t="inlineStr">
        <is>
          <t>directly</t>
        </is>
      </c>
      <c r="M3" s="89" t="inlineStr">
        <is>
          <t>no</t>
        </is>
      </c>
      <c r="N3" s="0" t="inlineStr">
        <is>
          <t>no</t>
        </is>
      </c>
      <c r="O3" s="89" t="inlineStr">
        <is>
          <t>hourly</t>
        </is>
      </c>
      <c r="P3" s="0" t="inlineStr">
        <is>
          <t>no</t>
        </is>
      </c>
      <c r="S3" t="inlineStr">
        <is>
          <t>yes</t>
        </is>
      </c>
    </row>
    <row r="4" ht="11.25" customHeight="1" s="93">
      <c r="A4" s="90" t="inlineStr">
        <is>
          <t>Content</t>
        </is>
      </c>
      <c r="B4" s="86" t="inlineStr">
        <is>
          <t>Bickash Pandey</t>
        </is>
      </c>
      <c r="C4" s="85">
        <f>+SUM('General Ledger Detail'!E38:E41)</f>
        <v/>
      </c>
      <c r="D4" s="89" t="inlineStr">
        <is>
          <t>Individual</t>
        </is>
      </c>
      <c r="E4" s="86" t="inlineStr">
        <is>
          <t>Yes</t>
        </is>
      </c>
      <c r="F4" s="87" t="n"/>
      <c r="G4" s="88" t="n"/>
      <c r="H4" s="89" t="inlineStr">
        <is>
          <t>off boarded</t>
        </is>
      </c>
      <c r="I4" s="89" t="inlineStr">
        <is>
          <t>overseas</t>
        </is>
      </c>
      <c r="J4" s="89" t="inlineStr">
        <is>
          <t>less</t>
        </is>
      </c>
      <c r="K4" s="0" t="inlineStr">
        <is>
          <t>yes</t>
        </is>
      </c>
      <c r="L4" s="89" t="inlineStr">
        <is>
          <t>directly</t>
        </is>
      </c>
      <c r="M4" s="89" t="inlineStr">
        <is>
          <t>no</t>
        </is>
      </c>
      <c r="N4" s="0" t="inlineStr">
        <is>
          <t>no</t>
        </is>
      </c>
      <c r="O4" s="89" t="inlineStr">
        <is>
          <t>hourly</t>
        </is>
      </c>
      <c r="P4" s="0" t="inlineStr">
        <is>
          <t>no</t>
        </is>
      </c>
      <c r="S4" t="inlineStr">
        <is>
          <t>yes</t>
        </is>
      </c>
    </row>
    <row r="5" ht="11.25" customHeight="1" s="93">
      <c r="A5" s="90" t="inlineStr">
        <is>
          <t>Content</t>
        </is>
      </c>
      <c r="B5" s="89" t="inlineStr">
        <is>
          <t>Brock Morgan</t>
        </is>
      </c>
      <c r="C5" s="85">
        <f>+'General Ledger Detail'!E42</f>
        <v/>
      </c>
      <c r="D5" s="89" t="inlineStr">
        <is>
          <t>Individual</t>
        </is>
      </c>
      <c r="E5" s="86" t="inlineStr">
        <is>
          <t>Yes</t>
        </is>
      </c>
      <c r="F5" s="87" t="n"/>
      <c r="G5" s="88" t="n"/>
      <c r="H5" s="89" t="inlineStr">
        <is>
          <t>Active</t>
        </is>
      </c>
      <c r="I5" s="89" t="inlineStr">
        <is>
          <t>australian resident</t>
        </is>
      </c>
      <c r="J5" s="89" t="inlineStr">
        <is>
          <t>less</t>
        </is>
      </c>
      <c r="K5" s="0" t="inlineStr">
        <is>
          <t>yes</t>
        </is>
      </c>
      <c r="L5" s="89" t="inlineStr">
        <is>
          <t>directly</t>
        </is>
      </c>
      <c r="M5" s="89" t="inlineStr">
        <is>
          <t>no</t>
        </is>
      </c>
      <c r="N5" s="0" t="inlineStr">
        <is>
          <t>yes</t>
        </is>
      </c>
      <c r="O5" s="89" t="inlineStr">
        <is>
          <t>hourly</t>
        </is>
      </c>
      <c r="P5" s="0" t="inlineStr">
        <is>
          <t>yes</t>
        </is>
      </c>
      <c r="S5" t="inlineStr">
        <is>
          <t>yes</t>
        </is>
      </c>
    </row>
    <row r="6" ht="11.25" customHeight="1" s="93">
      <c r="A6" s="90" t="inlineStr">
        <is>
          <t>Content</t>
        </is>
      </c>
      <c r="B6" s="89" t="inlineStr">
        <is>
          <t xml:space="preserve">Mamit Chaudhary </t>
        </is>
      </c>
      <c r="C6" s="85">
        <f>SUM('General Ledger Detail'!E43:E50)</f>
        <v/>
      </c>
      <c r="D6" s="89" t="inlineStr">
        <is>
          <t>Individual</t>
        </is>
      </c>
      <c r="E6" s="86" t="inlineStr">
        <is>
          <t>Yes</t>
        </is>
      </c>
      <c r="F6" s="87" t="n"/>
      <c r="G6" s="88" t="n"/>
      <c r="H6" s="89" t="inlineStr">
        <is>
          <t>Active</t>
        </is>
      </c>
      <c r="I6" s="89" t="inlineStr">
        <is>
          <t>overseas</t>
        </is>
      </c>
      <c r="J6" s="89" t="inlineStr">
        <is>
          <t>less</t>
        </is>
      </c>
      <c r="K6" s="0" t="inlineStr">
        <is>
          <t>yes</t>
        </is>
      </c>
      <c r="L6" s="89" t="inlineStr">
        <is>
          <t>directly</t>
        </is>
      </c>
      <c r="M6" s="89" t="inlineStr">
        <is>
          <t>no</t>
        </is>
      </c>
      <c r="N6" s="0" t="inlineStr">
        <is>
          <t>no</t>
        </is>
      </c>
      <c r="O6" s="89" t="inlineStr">
        <is>
          <t>hourly</t>
        </is>
      </c>
      <c r="P6" s="0" t="inlineStr">
        <is>
          <t>no</t>
        </is>
      </c>
      <c r="S6" t="inlineStr">
        <is>
          <t>yes</t>
        </is>
      </c>
    </row>
    <row r="7" ht="11.25" customHeight="1" s="93">
      <c r="A7" s="90" t="inlineStr">
        <is>
          <t>Content</t>
        </is>
      </c>
      <c r="B7" s="89" t="inlineStr">
        <is>
          <t xml:space="preserve">Thapa Anashrut </t>
        </is>
      </c>
      <c r="C7" s="85">
        <f>SUM('General Ledger Detail'!E51:E105)</f>
        <v/>
      </c>
      <c r="D7" s="89" t="inlineStr">
        <is>
          <t>Individual</t>
        </is>
      </c>
      <c r="E7" s="86" t="inlineStr">
        <is>
          <t>Yes</t>
        </is>
      </c>
      <c r="F7" s="87" t="n"/>
      <c r="G7" s="88" t="n"/>
      <c r="H7" s="89" t="inlineStr">
        <is>
          <t>Active</t>
        </is>
      </c>
      <c r="I7" s="89" t="inlineStr">
        <is>
          <t>overseas</t>
        </is>
      </c>
      <c r="J7" s="89" t="inlineStr">
        <is>
          <t>less</t>
        </is>
      </c>
      <c r="K7" s="0" t="inlineStr">
        <is>
          <t>no</t>
        </is>
      </c>
      <c r="L7" s="89" t="inlineStr">
        <is>
          <t>directly</t>
        </is>
      </c>
      <c r="M7" s="89" t="inlineStr">
        <is>
          <t>no</t>
        </is>
      </c>
      <c r="O7" s="89" t="inlineStr">
        <is>
          <t>hourly</t>
        </is>
      </c>
    </row>
    <row r="8" ht="11.25" customHeight="1" s="93">
      <c r="A8" s="90" t="inlineStr">
        <is>
          <t>Virtual asssistant</t>
        </is>
      </c>
      <c r="B8" s="89" t="inlineStr">
        <is>
          <t>Upwork (Nawal)</t>
        </is>
      </c>
      <c r="C8" s="85">
        <f>SUM('General Ledger Detail'!E106:E134)</f>
        <v/>
      </c>
      <c r="D8" s="89" t="inlineStr">
        <is>
          <t>Individual</t>
        </is>
      </c>
      <c r="E8" s="86" t="inlineStr">
        <is>
          <t>Yes</t>
        </is>
      </c>
      <c r="F8" s="87" t="n"/>
      <c r="G8" s="88" t="n"/>
      <c r="H8" s="89" t="inlineStr">
        <is>
          <t>Active</t>
        </is>
      </c>
      <c r="I8" s="89" t="inlineStr">
        <is>
          <t>overseas</t>
        </is>
      </c>
      <c r="J8" s="89" t="inlineStr">
        <is>
          <t>less</t>
        </is>
      </c>
      <c r="K8" s="0" t="inlineStr">
        <is>
          <t>no</t>
        </is>
      </c>
      <c r="L8" s="89" t="inlineStr">
        <is>
          <t>directly</t>
        </is>
      </c>
      <c r="M8" s="89" t="inlineStr">
        <is>
          <t>no</t>
        </is>
      </c>
      <c r="O8" s="89" t="inlineStr">
        <is>
          <t>hourly</t>
        </is>
      </c>
    </row>
    <row r="9" ht="11.25" customHeight="1" s="93">
      <c r="A9" s="90" t="inlineStr">
        <is>
          <t>Operations</t>
        </is>
      </c>
      <c r="B9" s="89" t="inlineStr">
        <is>
          <t xml:space="preserve">Dan Diaz Guerrero </t>
        </is>
      </c>
      <c r="C9" s="85">
        <f>SUM('General Ledger Detail'!E139:E169)</f>
        <v/>
      </c>
      <c r="D9" s="89" t="inlineStr">
        <is>
          <t>Individual</t>
        </is>
      </c>
      <c r="E9" s="86" t="inlineStr">
        <is>
          <t>Yes</t>
        </is>
      </c>
      <c r="F9" s="87" t="n"/>
      <c r="G9" s="88" t="n"/>
      <c r="H9" s="89" t="inlineStr">
        <is>
          <t>Active</t>
        </is>
      </c>
      <c r="I9" s="89" t="inlineStr">
        <is>
          <t>overseas</t>
        </is>
      </c>
      <c r="J9" s="89" t="inlineStr">
        <is>
          <t>more</t>
        </is>
      </c>
      <c r="K9" s="0" t="inlineStr">
        <is>
          <t>yes</t>
        </is>
      </c>
      <c r="L9" s="89" t="inlineStr">
        <is>
          <t>directly</t>
        </is>
      </c>
      <c r="M9" s="89" t="inlineStr">
        <is>
          <t>no</t>
        </is>
      </c>
      <c r="N9" s="0" t="inlineStr">
        <is>
          <t>yes</t>
        </is>
      </c>
      <c r="O9" s="89" t="inlineStr">
        <is>
          <t>hourly + commisions</t>
        </is>
      </c>
      <c r="P9" s="0" t="inlineStr">
        <is>
          <t>no</t>
        </is>
      </c>
      <c r="S9" t="inlineStr">
        <is>
          <t>yes</t>
        </is>
      </c>
    </row>
    <row r="10" ht="11.25" customHeight="1" s="93">
      <c r="A10" s="90" t="inlineStr">
        <is>
          <t>Sales</t>
        </is>
      </c>
      <c r="B10" s="89" t="inlineStr">
        <is>
          <t>Fernando Diaz Guerrero</t>
        </is>
      </c>
      <c r="C10" s="85">
        <f>SUM('General Ledger Detail'!E176:E181)</f>
        <v/>
      </c>
      <c r="D10" s="89" t="inlineStr">
        <is>
          <t>Individual</t>
        </is>
      </c>
      <c r="E10" s="86" t="inlineStr">
        <is>
          <t>Yes</t>
        </is>
      </c>
      <c r="F10" s="87" t="n"/>
      <c r="G10" s="88" t="n"/>
      <c r="H10" s="89" t="inlineStr">
        <is>
          <t>Active</t>
        </is>
      </c>
      <c r="I10" s="89" t="inlineStr">
        <is>
          <t>overseas</t>
        </is>
      </c>
      <c r="J10" s="89" t="inlineStr">
        <is>
          <t>less</t>
        </is>
      </c>
      <c r="K10" s="0" t="inlineStr">
        <is>
          <t>no</t>
        </is>
      </c>
      <c r="L10" s="89" t="inlineStr">
        <is>
          <t>directly</t>
        </is>
      </c>
      <c r="M10" s="89" t="inlineStr">
        <is>
          <t>no</t>
        </is>
      </c>
      <c r="O10" s="89" t="inlineStr">
        <is>
          <t>hourly + commisions</t>
        </is>
      </c>
    </row>
    <row r="11" ht="11.25" customHeight="1" s="93">
      <c r="A11" s="90" t="inlineStr">
        <is>
          <t>Sales</t>
        </is>
      </c>
      <c r="B11" s="89" t="inlineStr">
        <is>
          <t>Gabriela Fuchs</t>
        </is>
      </c>
      <c r="C11" s="85">
        <f>SUM('General Ledger Detail'!E182:E186)</f>
        <v/>
      </c>
      <c r="D11" s="89" t="inlineStr">
        <is>
          <t>Individual</t>
        </is>
      </c>
      <c r="E11" s="86" t="inlineStr">
        <is>
          <t>Yes</t>
        </is>
      </c>
      <c r="F11" s="87" t="n"/>
      <c r="G11" s="88" t="n"/>
      <c r="H11" s="89" t="inlineStr">
        <is>
          <t>off boarded</t>
        </is>
      </c>
      <c r="I11" s="89" t="inlineStr">
        <is>
          <t>resided in australia and in venezuela and canada</t>
        </is>
      </c>
      <c r="J11" s="89" t="inlineStr">
        <is>
          <t>less</t>
        </is>
      </c>
      <c r="K11" s="0" t="inlineStr">
        <is>
          <t>no</t>
        </is>
      </c>
      <c r="L11" s="89" t="inlineStr">
        <is>
          <t>directly</t>
        </is>
      </c>
      <c r="M11" s="89" t="inlineStr">
        <is>
          <t>no</t>
        </is>
      </c>
      <c r="O11" s="89" t="inlineStr">
        <is>
          <t>hourly + commisions</t>
        </is>
      </c>
    </row>
    <row r="12" ht="11.25" customHeight="1" s="93">
      <c r="A12" s="90" t="inlineStr">
        <is>
          <t>Sales</t>
        </is>
      </c>
      <c r="B12" s="89" t="inlineStr">
        <is>
          <t>Hilal Husseyin</t>
        </is>
      </c>
      <c r="C12" s="85">
        <f>SUM('General Ledger Detail'!E187:E192)</f>
        <v/>
      </c>
      <c r="D12" s="89" t="inlineStr">
        <is>
          <t>Individual</t>
        </is>
      </c>
      <c r="E12" s="86" t="inlineStr">
        <is>
          <t>Yes</t>
        </is>
      </c>
      <c r="F12" s="87" t="n"/>
      <c r="G12" s="88" t="n"/>
      <c r="H12" s="89" t="inlineStr">
        <is>
          <t>off boarded</t>
        </is>
      </c>
      <c r="I12" s="89" t="inlineStr">
        <is>
          <t>overseas</t>
        </is>
      </c>
      <c r="J12" s="89" t="inlineStr">
        <is>
          <t>less</t>
        </is>
      </c>
      <c r="K12" s="0" t="inlineStr">
        <is>
          <t>yes</t>
        </is>
      </c>
      <c r="L12" s="89" t="inlineStr">
        <is>
          <t>directly</t>
        </is>
      </c>
      <c r="M12" s="89" t="inlineStr">
        <is>
          <t>no</t>
        </is>
      </c>
      <c r="N12" s="0" t="inlineStr">
        <is>
          <t>yes</t>
        </is>
      </c>
      <c r="P12" s="0" t="inlineStr">
        <is>
          <t>no</t>
        </is>
      </c>
      <c r="S12" t="inlineStr">
        <is>
          <t>yes</t>
        </is>
      </c>
    </row>
    <row r="13" ht="11.25" customHeight="1" s="93">
      <c r="A13" s="90" t="inlineStr">
        <is>
          <t>Sales</t>
        </is>
      </c>
      <c r="B13" s="89" t="inlineStr">
        <is>
          <t>Lisa Cooke</t>
        </is>
      </c>
      <c r="C13" s="85">
        <f>SUM('General Ledger Detail'!E193:E197)</f>
        <v/>
      </c>
      <c r="D13" s="89" t="inlineStr">
        <is>
          <t>Individual</t>
        </is>
      </c>
      <c r="E13" s="86" t="inlineStr">
        <is>
          <t>Yes</t>
        </is>
      </c>
      <c r="F13" s="87" t="n"/>
      <c r="G13" s="88" t="n"/>
      <c r="H13" s="89" t="inlineStr">
        <is>
          <t>Active</t>
        </is>
      </c>
      <c r="I13" s="89" t="inlineStr">
        <is>
          <t>overseas</t>
        </is>
      </c>
      <c r="J13" s="89" t="inlineStr">
        <is>
          <t>less</t>
        </is>
      </c>
      <c r="K13" s="0" t="inlineStr">
        <is>
          <t>no</t>
        </is>
      </c>
      <c r="L13" s="89" t="inlineStr">
        <is>
          <t>directly</t>
        </is>
      </c>
      <c r="M13" s="89" t="inlineStr">
        <is>
          <t>no</t>
        </is>
      </c>
    </row>
    <row r="14" ht="11.25" customHeight="1" s="93">
      <c r="A14" s="90" t="inlineStr">
        <is>
          <t>Sales</t>
        </is>
      </c>
      <c r="B14" s="89" t="inlineStr">
        <is>
          <t xml:space="preserve">Sarah Mcneil </t>
        </is>
      </c>
      <c r="C14" s="85">
        <f>SUM('General Ledger Detail'!E198:E207)</f>
        <v/>
      </c>
      <c r="D14" s="89" t="inlineStr">
        <is>
          <t>Individual</t>
        </is>
      </c>
      <c r="E14" s="86" t="inlineStr">
        <is>
          <t>Yes</t>
        </is>
      </c>
      <c r="F14" s="87" t="n"/>
      <c r="G14" s="88" t="n"/>
      <c r="H14" s="89" t="inlineStr">
        <is>
          <t>Active</t>
        </is>
      </c>
      <c r="I14" s="89" t="inlineStr">
        <is>
          <t>australian resident</t>
        </is>
      </c>
      <c r="J14" s="89" t="inlineStr">
        <is>
          <t>less</t>
        </is>
      </c>
      <c r="K14" s="0" t="inlineStr">
        <is>
          <t>yes</t>
        </is>
      </c>
      <c r="L14" s="89" t="inlineStr">
        <is>
          <t>directly</t>
        </is>
      </c>
      <c r="M14" s="89" t="inlineStr">
        <is>
          <t>no</t>
        </is>
      </c>
      <c r="N14" s="0" t="inlineStr">
        <is>
          <t>yes</t>
        </is>
      </c>
      <c r="P14" s="0" t="inlineStr">
        <is>
          <t>no</t>
        </is>
      </c>
      <c r="S14" t="inlineStr">
        <is>
          <t>yes</t>
        </is>
      </c>
    </row>
    <row r="15" ht="11.25" customHeight="1" s="93">
      <c r="A15" s="90" t="inlineStr">
        <is>
          <t>Sales</t>
        </is>
      </c>
      <c r="B15" s="89" t="inlineStr">
        <is>
          <t>Sarika Narkhede</t>
        </is>
      </c>
      <c r="C15" s="85">
        <f>SUM('General Ledger Detail'!E208:E216)</f>
        <v/>
      </c>
      <c r="D15" s="89" t="inlineStr">
        <is>
          <t>Individual</t>
        </is>
      </c>
      <c r="E15" s="86" t="inlineStr">
        <is>
          <t>Yes</t>
        </is>
      </c>
      <c r="F15" s="87" t="n"/>
      <c r="G15" s="88" t="n"/>
      <c r="H15" s="89" t="inlineStr">
        <is>
          <t>Active</t>
        </is>
      </c>
      <c r="I15" s="89" t="inlineStr">
        <is>
          <t>australian resident</t>
        </is>
      </c>
      <c r="J15" s="89" t="inlineStr">
        <is>
          <t>less</t>
        </is>
      </c>
      <c r="K15" s="0" t="inlineStr">
        <is>
          <t>no</t>
        </is>
      </c>
      <c r="L15" s="89" t="inlineStr">
        <is>
          <t>directly</t>
        </is>
      </c>
      <c r="M15" s="89" t="inlineStr">
        <is>
          <t>no</t>
        </is>
      </c>
    </row>
    <row r="16" ht="11.25" customHeight="1" s="93">
      <c r="A16" s="90" t="inlineStr">
        <is>
          <t>Virtual Assistant</t>
        </is>
      </c>
      <c r="B16" s="89" t="inlineStr">
        <is>
          <t>Charmine Longakit</t>
        </is>
      </c>
      <c r="C16" s="85">
        <f>SUM('General Ledger Detail'!E221:E237)</f>
        <v/>
      </c>
      <c r="D16" s="89" t="inlineStr">
        <is>
          <t>Individual</t>
        </is>
      </c>
      <c r="E16" s="86" t="inlineStr">
        <is>
          <t>Yes</t>
        </is>
      </c>
      <c r="F16" s="87" t="n"/>
      <c r="G16" s="88" t="n"/>
      <c r="H16" s="89" t="inlineStr">
        <is>
          <t>off boarded</t>
        </is>
      </c>
      <c r="I16" s="89" t="inlineStr">
        <is>
          <t>overseas</t>
        </is>
      </c>
      <c r="J16" s="89" t="inlineStr">
        <is>
          <t>less</t>
        </is>
      </c>
      <c r="K16" s="0" t="inlineStr">
        <is>
          <t>no</t>
        </is>
      </c>
      <c r="L16" s="89" t="inlineStr">
        <is>
          <t>directly</t>
        </is>
      </c>
      <c r="M16" s="89" t="inlineStr">
        <is>
          <t>no</t>
        </is>
      </c>
    </row>
    <row r="17" ht="11.25" customHeight="1" s="93">
      <c r="A17" s="90" t="inlineStr">
        <is>
          <t>Virtual Assistant</t>
        </is>
      </c>
      <c r="B17" s="89" t="inlineStr">
        <is>
          <t>Kate L. Angulo</t>
        </is>
      </c>
      <c r="C17" s="85">
        <f>SUM('General Ledger Detail'!E238:E260)</f>
        <v/>
      </c>
      <c r="D17" s="89" t="inlineStr">
        <is>
          <t>Individual</t>
        </is>
      </c>
      <c r="E17" s="86" t="inlineStr">
        <is>
          <t>Yes</t>
        </is>
      </c>
      <c r="F17" s="87" t="n"/>
      <c r="G17" s="88" t="n"/>
      <c r="H17" s="89" t="inlineStr">
        <is>
          <t>Active</t>
        </is>
      </c>
      <c r="I17" s="89" t="inlineStr">
        <is>
          <t>overseas</t>
        </is>
      </c>
      <c r="J17" s="89" t="inlineStr">
        <is>
          <t>more</t>
        </is>
      </c>
      <c r="K17" s="0" t="inlineStr">
        <is>
          <t>no</t>
        </is>
      </c>
      <c r="L17" s="89" t="inlineStr">
        <is>
          <t>directly</t>
        </is>
      </c>
      <c r="M17" s="89" t="inlineStr">
        <is>
          <t>no</t>
        </is>
      </c>
    </row>
    <row r="18" ht="11.25" customHeight="1" s="93">
      <c r="A18" s="90" t="inlineStr">
        <is>
          <t>Virtual Assistant</t>
        </is>
      </c>
      <c r="B18" s="89" t="inlineStr">
        <is>
          <t>Lorie Jane L. Rojo</t>
        </is>
      </c>
      <c r="C18" s="85">
        <f>SUM('General Ledger Detail'!E261:E273)</f>
        <v/>
      </c>
      <c r="D18" s="89" t="inlineStr">
        <is>
          <t>Individual</t>
        </is>
      </c>
      <c r="E18" s="86" t="inlineStr">
        <is>
          <t>Yes</t>
        </is>
      </c>
      <c r="F18" s="87" t="n"/>
      <c r="G18" s="88" t="n"/>
      <c r="H18" s="89" t="inlineStr">
        <is>
          <t>Active</t>
        </is>
      </c>
      <c r="I18" s="89" t="inlineStr">
        <is>
          <t>overseas</t>
        </is>
      </c>
      <c r="J18" s="89" t="inlineStr">
        <is>
          <t>less</t>
        </is>
      </c>
      <c r="K18" s="0" t="inlineStr">
        <is>
          <t>no</t>
        </is>
      </c>
      <c r="L18" s="89" t="inlineStr">
        <is>
          <t>directly</t>
        </is>
      </c>
      <c r="M18" s="89" t="inlineStr">
        <is>
          <t>no</t>
        </is>
      </c>
    </row>
    <row r="19" ht="11.25" customHeight="1" s="93">
      <c r="A19" s="90" t="inlineStr">
        <is>
          <t>Virtual Assistant</t>
        </is>
      </c>
      <c r="B19" s="89" t="inlineStr">
        <is>
          <t>Sunshine Lorilla</t>
        </is>
      </c>
      <c r="C19" s="85">
        <f>SUM('General Ledger Detail'!E277:E288)</f>
        <v/>
      </c>
      <c r="D19" s="89" t="inlineStr">
        <is>
          <t>Individual</t>
        </is>
      </c>
      <c r="E19" s="86" t="inlineStr">
        <is>
          <t>Yes</t>
        </is>
      </c>
      <c r="F19" s="87" t="n"/>
      <c r="G19" s="88" t="n"/>
      <c r="H19" s="89" t="inlineStr">
        <is>
          <t>Active</t>
        </is>
      </c>
      <c r="I19" s="89" t="inlineStr">
        <is>
          <t>overseas</t>
        </is>
      </c>
      <c r="J19" s="89" t="inlineStr">
        <is>
          <t>less</t>
        </is>
      </c>
      <c r="K19" s="0" t="inlineStr">
        <is>
          <t>no</t>
        </is>
      </c>
      <c r="L19" s="89" t="inlineStr">
        <is>
          <t>directly</t>
        </is>
      </c>
      <c r="M19" s="89" t="inlineStr">
        <is>
          <t>no</t>
        </is>
      </c>
    </row>
    <row r="20" ht="11.25" customHeight="1" s="93">
      <c r="A20" s="90" t="inlineStr">
        <is>
          <t>Virtual Assistant</t>
        </is>
      </c>
      <c r="B20" s="89" t="inlineStr">
        <is>
          <t>Upwork (Nawal)</t>
        </is>
      </c>
      <c r="C20" s="85">
        <f>SUM('General Ledger Detail'!E289:E298)</f>
        <v/>
      </c>
      <c r="D20" s="89" t="inlineStr">
        <is>
          <t>Individual</t>
        </is>
      </c>
      <c r="E20" s="86" t="inlineStr">
        <is>
          <t>Yes</t>
        </is>
      </c>
      <c r="F20" s="87" t="n"/>
      <c r="G20" s="88" t="n"/>
      <c r="H20" s="89" t="inlineStr">
        <is>
          <t>Active</t>
        </is>
      </c>
      <c r="I20" s="89" t="inlineStr">
        <is>
          <t>overseas</t>
        </is>
      </c>
      <c r="J20" s="89" t="inlineStr">
        <is>
          <t>less</t>
        </is>
      </c>
      <c r="K20" s="0" t="inlineStr">
        <is>
          <t>no</t>
        </is>
      </c>
      <c r="L20" s="89" t="inlineStr">
        <is>
          <t>directly</t>
        </is>
      </c>
      <c r="M20" s="89" t="inlineStr">
        <is>
          <t>no</t>
        </is>
      </c>
    </row>
    <row r="21" ht="11.25" customHeight="1" s="93">
      <c r="A21" s="90" t="inlineStr">
        <is>
          <t>Virtual Assistant</t>
        </is>
      </c>
      <c r="B21" s="89" t="inlineStr">
        <is>
          <t>Blessing</t>
        </is>
      </c>
      <c r="C21" s="85" t="n"/>
      <c r="D21" s="89" t="inlineStr">
        <is>
          <t>Individual</t>
        </is>
      </c>
      <c r="E21" s="86" t="inlineStr">
        <is>
          <t>Yes</t>
        </is>
      </c>
      <c r="F21" s="91" t="n"/>
      <c r="G21" s="92" t="n"/>
      <c r="H21" s="89" t="inlineStr">
        <is>
          <t>Active</t>
        </is>
      </c>
      <c r="I21" s="89" t="inlineStr">
        <is>
          <t>overseas</t>
        </is>
      </c>
      <c r="J21" s="89" t="inlineStr">
        <is>
          <t>less</t>
        </is>
      </c>
      <c r="K21" s="0" t="inlineStr">
        <is>
          <t>no</t>
        </is>
      </c>
      <c r="L21" s="89" t="inlineStr">
        <is>
          <t>upwork- labour hire firm</t>
        </is>
      </c>
      <c r="M21" s="89" t="inlineStr">
        <is>
          <t>no</t>
        </is>
      </c>
    </row>
    <row r="22" ht="11.25" customHeight="1" s="93">
      <c r="A22" s="90" t="n"/>
      <c r="C22" s="81">
        <f>SUM(C2:C20)</f>
        <v/>
      </c>
    </row>
    <row r="23" ht="11.25" customHeight="1" s="93">
      <c r="A23" s="90" t="n"/>
      <c r="C23" s="85" t="n"/>
    </row>
    <row r="24" ht="11.25" customHeight="1" s="93">
      <c r="A24" s="90" t="n"/>
      <c r="C24" s="85" t="n"/>
    </row>
    <row r="25" ht="11.25" customHeight="1" s="93">
      <c r="A25" s="90" t="n"/>
      <c r="C25" s="85" t="n"/>
    </row>
    <row r="26" ht="11.25" customHeight="1" s="93">
      <c r="A26" s="90" t="n"/>
      <c r="C26" s="85" t="n"/>
    </row>
    <row r="27" ht="11.25" customHeight="1" s="93">
      <c r="A27" s="90" t="n"/>
      <c r="C27" s="85" t="n"/>
    </row>
    <row r="28" ht="11.25" customHeight="1" s="93">
      <c r="A28" s="90" t="n"/>
      <c r="C28" s="85" t="n"/>
    </row>
    <row r="29" ht="11.25" customHeight="1" s="93">
      <c r="A29" s="90" t="n"/>
      <c r="C29" s="85" t="n"/>
    </row>
    <row r="30" ht="11.25" customHeight="1" s="93">
      <c r="A30" s="90" t="n"/>
      <c r="C30" s="85" t="n"/>
    </row>
    <row r="31" ht="11.25" customHeight="1" s="93">
      <c r="A31" s="90" t="n"/>
      <c r="C31" s="85" t="n"/>
    </row>
    <row r="32" ht="11.25" customHeight="1" s="93">
      <c r="A32" s="90" t="n"/>
      <c r="C32" s="85" t="n"/>
    </row>
    <row r="33" ht="11.25" customHeight="1" s="93">
      <c r="A33" s="90" t="n"/>
      <c r="C33" s="85" t="n"/>
    </row>
    <row r="34" ht="11.25" customHeight="1" s="93">
      <c r="A34" s="90" t="n"/>
      <c r="C34" s="85" t="n"/>
    </row>
    <row r="35" ht="11.25" customHeight="1" s="93">
      <c r="A35" s="90" t="n"/>
      <c r="C35" s="85" t="n"/>
    </row>
    <row r="36" ht="11.25" customHeight="1" s="93">
      <c r="A36" s="90" t="n"/>
      <c r="C36" s="85" t="n"/>
    </row>
    <row r="37" ht="11.25" customHeight="1" s="93">
      <c r="A37" s="90" t="n"/>
      <c r="C37" s="85" t="n"/>
    </row>
    <row r="38" ht="11.25" customHeight="1" s="93">
      <c r="A38" s="90" t="n"/>
      <c r="C38" s="85" t="n"/>
    </row>
    <row r="39" ht="11.25" customHeight="1" s="93">
      <c r="A39" s="90" t="n"/>
      <c r="C39" s="85" t="n"/>
    </row>
    <row r="40" ht="11.25" customHeight="1" s="93">
      <c r="A40" s="90" t="n"/>
      <c r="C40" s="85" t="n"/>
    </row>
    <row r="41" ht="11.25" customHeight="1" s="93">
      <c r="A41" s="90" t="n"/>
      <c r="C41" s="85" t="n"/>
    </row>
    <row r="42" ht="11.25" customHeight="1" s="93">
      <c r="A42" s="90" t="n"/>
      <c r="C42" s="85" t="n"/>
    </row>
    <row r="43" ht="11.25" customHeight="1" s="93">
      <c r="A43" s="90" t="n"/>
      <c r="C43" s="85" t="n"/>
    </row>
    <row r="44" ht="11.25" customHeight="1" s="93">
      <c r="A44" s="90" t="n"/>
      <c r="C44" s="85" t="n"/>
    </row>
    <row r="45" ht="11.25" customHeight="1" s="93">
      <c r="A45" s="90" t="n"/>
      <c r="C45" s="85" t="n"/>
    </row>
    <row r="46" ht="11.25" customHeight="1" s="93">
      <c r="A46" s="90" t="n"/>
      <c r="C46" s="85" t="n"/>
    </row>
    <row r="47" ht="11.25" customHeight="1" s="93">
      <c r="A47" s="90" t="n"/>
      <c r="C47" s="85" t="n"/>
    </row>
    <row r="48" ht="11.25" customHeight="1" s="93">
      <c r="A48" s="90" t="n"/>
      <c r="C48" s="85" t="n"/>
    </row>
    <row r="49" ht="11.25" customHeight="1" s="93">
      <c r="A49" s="90" t="n"/>
      <c r="C49" s="85" t="n"/>
    </row>
    <row r="50" ht="11.25" customHeight="1" s="93">
      <c r="A50" s="90" t="n"/>
      <c r="C50" s="85" t="n"/>
    </row>
    <row r="51" ht="11.25" customHeight="1" s="93">
      <c r="A51" s="90" t="n"/>
      <c r="C51" s="85" t="n"/>
    </row>
    <row r="52" ht="11.25" customHeight="1" s="93">
      <c r="A52" s="90" t="n"/>
      <c r="C52" s="85" t="n"/>
    </row>
    <row r="53" ht="11.25" customHeight="1" s="93">
      <c r="A53" s="90" t="n"/>
      <c r="C53" s="85" t="n"/>
    </row>
    <row r="54" ht="11.25" customHeight="1" s="93">
      <c r="A54" s="90" t="n"/>
      <c r="C54" s="85" t="n"/>
    </row>
    <row r="55" ht="11.25" customHeight="1" s="93">
      <c r="A55" s="90" t="n"/>
      <c r="C55" s="85" t="n"/>
    </row>
    <row r="56" ht="11.25" customHeight="1" s="93">
      <c r="A56" s="90" t="n"/>
      <c r="C56" s="85" t="n"/>
    </row>
    <row r="57" ht="11.25" customHeight="1" s="93">
      <c r="A57" s="90" t="n"/>
      <c r="C57" s="85" t="n"/>
    </row>
    <row r="58" ht="11.25" customHeight="1" s="93">
      <c r="A58" s="90" t="n"/>
      <c r="C58" s="85" t="n"/>
    </row>
    <row r="59" ht="11.25" customHeight="1" s="93">
      <c r="A59" s="90" t="n"/>
      <c r="C59" s="85" t="n"/>
    </row>
    <row r="60" ht="11.25" customHeight="1" s="93">
      <c r="A60" s="90" t="n"/>
      <c r="C60" s="85" t="n"/>
    </row>
    <row r="61" ht="11.25" customHeight="1" s="93">
      <c r="A61" s="90" t="n"/>
      <c r="C61" s="85" t="n"/>
    </row>
    <row r="62" ht="11.25" customHeight="1" s="93">
      <c r="A62" s="90" t="n"/>
      <c r="C62" s="85" t="n"/>
    </row>
    <row r="63" ht="11.25" customHeight="1" s="93">
      <c r="A63" s="90" t="n"/>
      <c r="C63" s="85" t="n"/>
    </row>
    <row r="64" ht="11.25" customHeight="1" s="93">
      <c r="A64" s="90" t="n"/>
      <c r="C64" s="85" t="n"/>
    </row>
    <row r="65" ht="11.25" customHeight="1" s="93">
      <c r="A65" s="90" t="n"/>
      <c r="C65" s="85" t="n"/>
    </row>
    <row r="66" ht="11.25" customHeight="1" s="93">
      <c r="A66" s="90" t="n"/>
      <c r="C66" s="85" t="n"/>
    </row>
    <row r="67" ht="11.25" customHeight="1" s="93">
      <c r="A67" s="90" t="n"/>
      <c r="C67" s="85" t="n"/>
    </row>
    <row r="68" ht="11.25" customHeight="1" s="93">
      <c r="A68" s="90" t="n"/>
      <c r="C68" s="85" t="n"/>
    </row>
    <row r="69" ht="11.25" customHeight="1" s="93">
      <c r="A69" s="90" t="n"/>
      <c r="C69" s="85" t="n"/>
    </row>
    <row r="70" ht="11.25" customHeight="1" s="93">
      <c r="A70" s="90" t="n"/>
      <c r="C70" s="85" t="n"/>
    </row>
    <row r="71" ht="11.25" customHeight="1" s="93">
      <c r="A71" s="90" t="n"/>
      <c r="C71" s="85" t="n"/>
    </row>
    <row r="72" ht="11.25" customHeight="1" s="93">
      <c r="A72" s="90" t="n"/>
      <c r="C72" s="85" t="n"/>
    </row>
    <row r="73" ht="11.25" customHeight="1" s="93">
      <c r="A73" s="90" t="n"/>
      <c r="C73" s="85" t="n"/>
    </row>
    <row r="74" ht="11.25" customHeight="1" s="93">
      <c r="A74" s="90" t="n"/>
      <c r="C74" s="85" t="n"/>
    </row>
    <row r="75" ht="11.25" customHeight="1" s="93">
      <c r="A75" s="90" t="n"/>
      <c r="C75" s="85" t="n"/>
    </row>
    <row r="76" ht="11.25" customHeight="1" s="93">
      <c r="A76" s="90" t="n"/>
      <c r="C76" s="85" t="n"/>
    </row>
    <row r="77" ht="11.25" customHeight="1" s="93">
      <c r="A77" s="90" t="n"/>
      <c r="C77" s="85" t="n"/>
    </row>
    <row r="78" ht="11.25" customHeight="1" s="93">
      <c r="A78" s="90" t="n"/>
      <c r="C78" s="85" t="n"/>
    </row>
    <row r="79" ht="11.25" customHeight="1" s="93">
      <c r="A79" s="90" t="n"/>
      <c r="C79" s="85" t="n"/>
    </row>
    <row r="80" ht="11.25" customHeight="1" s="93">
      <c r="A80" s="90" t="n"/>
      <c r="C80" s="85" t="n"/>
    </row>
    <row r="81" ht="11.25" customHeight="1" s="93">
      <c r="A81" s="90" t="n"/>
      <c r="C81" s="85" t="n"/>
    </row>
    <row r="82" ht="11.25" customHeight="1" s="93">
      <c r="A82" s="90" t="n"/>
      <c r="C82" s="85" t="n"/>
    </row>
    <row r="83" ht="11.25" customHeight="1" s="93">
      <c r="A83" s="90" t="n"/>
      <c r="C83" s="85" t="n"/>
    </row>
    <row r="84" ht="11.25" customHeight="1" s="93">
      <c r="A84" s="90" t="n"/>
      <c r="C84" s="85" t="n"/>
    </row>
    <row r="85" ht="11.25" customHeight="1" s="93">
      <c r="A85" s="90" t="n"/>
      <c r="C85" s="85" t="n"/>
    </row>
    <row r="86" ht="11.25" customHeight="1" s="93">
      <c r="A86" s="90" t="n"/>
      <c r="C86" s="85" t="n"/>
    </row>
    <row r="87" ht="11.25" customHeight="1" s="93">
      <c r="A87" s="90" t="n"/>
      <c r="C87" s="85" t="n"/>
    </row>
    <row r="88" ht="11.25" customHeight="1" s="93">
      <c r="A88" s="90" t="n"/>
      <c r="C88" s="85" t="n"/>
    </row>
    <row r="89" ht="11.25" customHeight="1" s="93">
      <c r="A89" s="90" t="n"/>
      <c r="C89" s="85" t="n"/>
    </row>
    <row r="90" ht="11.25" customHeight="1" s="93">
      <c r="A90" s="90" t="n"/>
      <c r="C90" s="85" t="n"/>
    </row>
    <row r="91" ht="11.25" customHeight="1" s="93">
      <c r="A91" s="90" t="n"/>
      <c r="C91" s="85" t="n"/>
    </row>
    <row r="92" ht="11.25" customHeight="1" s="93">
      <c r="A92" s="90" t="n"/>
      <c r="C92" s="85" t="n"/>
    </row>
    <row r="93" ht="11.25" customHeight="1" s="93">
      <c r="A93" s="90" t="n"/>
      <c r="C93" s="85" t="n"/>
    </row>
    <row r="94" ht="11.25" customHeight="1" s="93">
      <c r="A94" s="90" t="n"/>
      <c r="C94" s="85" t="n"/>
    </row>
    <row r="95" ht="11.25" customHeight="1" s="93">
      <c r="A95" s="90" t="n"/>
      <c r="C95" s="85" t="n"/>
    </row>
    <row r="96" ht="11.25" customHeight="1" s="93">
      <c r="A96" s="90" t="n"/>
      <c r="C96" s="85" t="n"/>
    </row>
    <row r="97" ht="11.25" customHeight="1" s="93">
      <c r="A97" s="90" t="n"/>
      <c r="C97" s="85" t="n"/>
    </row>
    <row r="98" ht="11.25" customHeight="1" s="93">
      <c r="A98" s="90" t="n"/>
      <c r="C98" s="85" t="n"/>
    </row>
    <row r="99" ht="11.25" customHeight="1" s="93">
      <c r="A99" s="90" t="n"/>
      <c r="C99" s="85" t="n"/>
    </row>
    <row r="100" ht="11.25" customHeight="1" s="93">
      <c r="A100" s="90" t="n"/>
      <c r="C100" s="85" t="n"/>
    </row>
    <row r="101" ht="11.25" customHeight="1" s="93">
      <c r="A101" s="90" t="n"/>
      <c r="C101" s="85" t="n"/>
    </row>
    <row r="102" ht="11.25" customHeight="1" s="93">
      <c r="A102" s="90" t="n"/>
      <c r="C102" s="85" t="n"/>
    </row>
    <row r="103" ht="11.25" customHeight="1" s="93">
      <c r="A103" s="90" t="n"/>
      <c r="C103" s="85" t="n"/>
    </row>
    <row r="104" ht="11.25" customHeight="1" s="93">
      <c r="A104" s="90" t="n"/>
      <c r="C104" s="85" t="n"/>
    </row>
    <row r="105" ht="11.25" customHeight="1" s="93">
      <c r="A105" s="90" t="n"/>
      <c r="C105" s="85" t="n"/>
    </row>
    <row r="106" ht="11.25" customHeight="1" s="93">
      <c r="A106" s="90" t="n"/>
      <c r="C106" s="85" t="n"/>
    </row>
    <row r="107" ht="11.25" customHeight="1" s="93">
      <c r="A107" s="90" t="n"/>
      <c r="C107" s="85" t="n"/>
    </row>
    <row r="108" ht="11.25" customHeight="1" s="93">
      <c r="A108" s="90" t="n"/>
      <c r="C108" s="85" t="n"/>
    </row>
    <row r="109" ht="11.25" customHeight="1" s="93">
      <c r="A109" s="90" t="n"/>
      <c r="C109" s="85" t="n"/>
    </row>
    <row r="110" ht="11.25" customHeight="1" s="93">
      <c r="A110" s="90" t="n"/>
      <c r="C110" s="85" t="n"/>
    </row>
    <row r="111" ht="11.25" customHeight="1" s="93">
      <c r="A111" s="90" t="n"/>
      <c r="C111" s="85" t="n"/>
    </row>
    <row r="112" ht="11.25" customHeight="1" s="93">
      <c r="A112" s="90" t="n"/>
      <c r="C112" s="85" t="n"/>
    </row>
    <row r="113" ht="11.25" customHeight="1" s="93">
      <c r="A113" s="90" t="n"/>
      <c r="C113" s="85" t="n"/>
    </row>
    <row r="114" ht="11.25" customHeight="1" s="93">
      <c r="A114" s="90" t="n"/>
      <c r="C114" s="85" t="n"/>
    </row>
    <row r="115" ht="11.25" customHeight="1" s="93">
      <c r="A115" s="90" t="n"/>
      <c r="C115" s="85" t="n"/>
    </row>
    <row r="116" ht="11.25" customHeight="1" s="93">
      <c r="A116" s="90" t="n"/>
      <c r="C116" s="85" t="n"/>
    </row>
    <row r="117" ht="11.25" customHeight="1" s="93">
      <c r="A117" s="90" t="n"/>
      <c r="C117" s="85" t="n"/>
    </row>
    <row r="118" ht="11.25" customHeight="1" s="93">
      <c r="A118" s="90" t="n"/>
      <c r="C118" s="85" t="n"/>
    </row>
    <row r="119" ht="11.25" customHeight="1" s="93">
      <c r="A119" s="90" t="n"/>
      <c r="C119" s="85" t="n"/>
    </row>
    <row r="120" ht="11.25" customHeight="1" s="93">
      <c r="A120" s="90" t="n"/>
      <c r="C120" s="85" t="n"/>
    </row>
    <row r="121" ht="11.25" customHeight="1" s="93">
      <c r="A121" s="90" t="n"/>
      <c r="C121" s="85" t="n"/>
    </row>
    <row r="122" ht="11.25" customHeight="1" s="93">
      <c r="A122" s="90" t="n"/>
      <c r="C122" s="85" t="n"/>
    </row>
    <row r="123" ht="11.25" customHeight="1" s="93">
      <c r="A123" s="90" t="n"/>
      <c r="C123" s="85" t="n"/>
    </row>
    <row r="124" ht="11.25" customHeight="1" s="93">
      <c r="A124" s="90" t="n"/>
      <c r="C124" s="85" t="n"/>
    </row>
    <row r="125" ht="11.25" customHeight="1" s="93">
      <c r="A125" s="90" t="n"/>
      <c r="C125" s="85" t="n"/>
    </row>
    <row r="126" ht="11.25" customHeight="1" s="93">
      <c r="A126" s="90" t="n"/>
      <c r="C126" s="85" t="n"/>
    </row>
    <row r="127" ht="11.25" customHeight="1" s="93">
      <c r="A127" s="90" t="n"/>
      <c r="C127" s="85" t="n"/>
    </row>
    <row r="128" ht="11.25" customHeight="1" s="93">
      <c r="A128" s="90" t="n"/>
      <c r="C128" s="85" t="n"/>
    </row>
    <row r="129" ht="11.25" customHeight="1" s="93">
      <c r="A129" s="90" t="n"/>
      <c r="C129" s="85" t="n"/>
    </row>
    <row r="130" ht="11.25" customHeight="1" s="93">
      <c r="A130" s="90" t="n"/>
      <c r="C130" s="85" t="n"/>
    </row>
    <row r="131" ht="11.25" customHeight="1" s="93">
      <c r="A131" s="90" t="n"/>
      <c r="C131" s="85" t="n"/>
    </row>
    <row r="132" ht="11.25" customHeight="1" s="93">
      <c r="A132" s="90" t="n"/>
      <c r="C132" s="85" t="n"/>
    </row>
    <row r="133" ht="11.25" customHeight="1" s="93">
      <c r="A133" s="90" t="n"/>
      <c r="C133" s="85" t="n"/>
    </row>
    <row r="134" ht="11.25" customHeight="1" s="93">
      <c r="A134" s="90" t="n"/>
      <c r="C134" s="85" t="n"/>
    </row>
    <row r="135" ht="11.25" customHeight="1" s="93">
      <c r="A135" s="90" t="n"/>
      <c r="C135" s="85" t="n"/>
    </row>
    <row r="136" ht="11.25" customHeight="1" s="93">
      <c r="A136" s="90" t="n"/>
      <c r="C136" s="85" t="n"/>
    </row>
    <row r="137" ht="11.25" customHeight="1" s="93">
      <c r="A137" s="90" t="n"/>
      <c r="C137" s="85" t="n"/>
    </row>
    <row r="138" ht="11.25" customHeight="1" s="93">
      <c r="A138" s="90" t="n"/>
      <c r="C138" s="85" t="n"/>
    </row>
    <row r="139" ht="11.25" customHeight="1" s="93">
      <c r="A139" s="90" t="n"/>
      <c r="C139" s="85" t="n"/>
    </row>
    <row r="140" ht="11.25" customHeight="1" s="93">
      <c r="A140" s="90" t="n"/>
      <c r="C140" s="85" t="n"/>
    </row>
    <row r="141" ht="11.25" customHeight="1" s="93">
      <c r="A141" s="90" t="n"/>
      <c r="C141" s="85" t="n"/>
    </row>
    <row r="142" ht="11.25" customHeight="1" s="93">
      <c r="A142" s="90" t="n"/>
      <c r="C142" s="85" t="n"/>
    </row>
    <row r="143" ht="11.25" customHeight="1" s="93">
      <c r="A143" s="90" t="n"/>
      <c r="C143" s="85" t="n"/>
    </row>
    <row r="144" ht="11.25" customHeight="1" s="93">
      <c r="A144" s="90" t="n"/>
      <c r="C144" s="85" t="n"/>
    </row>
    <row r="145" ht="11.25" customHeight="1" s="93">
      <c r="A145" s="90" t="n"/>
      <c r="C145" s="85" t="n"/>
    </row>
    <row r="146" ht="11.25" customHeight="1" s="93">
      <c r="A146" s="90" t="n"/>
      <c r="C146" s="85" t="n"/>
    </row>
    <row r="147" ht="11.25" customHeight="1" s="93">
      <c r="A147" s="90" t="n"/>
      <c r="C147" s="85" t="n"/>
    </row>
    <row r="148" ht="11.25" customHeight="1" s="93">
      <c r="A148" s="90" t="n"/>
      <c r="C148" s="85" t="n"/>
    </row>
    <row r="149" ht="11.25" customHeight="1" s="93">
      <c r="A149" s="90" t="n"/>
      <c r="C149" s="85" t="n"/>
    </row>
    <row r="150" ht="11.25" customHeight="1" s="93">
      <c r="A150" s="90" t="n"/>
      <c r="C150" s="85" t="n"/>
    </row>
    <row r="151" ht="11.25" customHeight="1" s="93">
      <c r="A151" s="90" t="n"/>
      <c r="C151" s="85" t="n"/>
    </row>
    <row r="152" ht="11.25" customHeight="1" s="93">
      <c r="A152" s="90" t="n"/>
      <c r="C152" s="85" t="n"/>
    </row>
    <row r="153" ht="11.25" customHeight="1" s="93">
      <c r="A153" s="90" t="n"/>
      <c r="C153" s="85" t="n"/>
    </row>
    <row r="154" ht="11.25" customHeight="1" s="93">
      <c r="A154" s="90" t="n"/>
      <c r="C154" s="85" t="n"/>
    </row>
    <row r="155" ht="11.25" customHeight="1" s="93">
      <c r="A155" s="90" t="n"/>
      <c r="C155" s="85" t="n"/>
    </row>
    <row r="156" ht="11.25" customHeight="1" s="93">
      <c r="A156" s="90" t="n"/>
      <c r="C156" s="85" t="n"/>
    </row>
    <row r="157" ht="11.25" customHeight="1" s="93">
      <c r="A157" s="90" t="n"/>
      <c r="C157" s="85" t="n"/>
    </row>
    <row r="158" ht="11.25" customHeight="1" s="93">
      <c r="A158" s="90" t="n"/>
      <c r="C158" s="85" t="n"/>
    </row>
    <row r="159" ht="11.25" customHeight="1" s="93">
      <c r="A159" s="90" t="n"/>
      <c r="C159" s="85" t="n"/>
    </row>
    <row r="160" ht="11.25" customHeight="1" s="93">
      <c r="A160" s="90" t="n"/>
      <c r="C160" s="85" t="n"/>
    </row>
    <row r="161" ht="11.25" customHeight="1" s="93">
      <c r="A161" s="90" t="n"/>
      <c r="C161" s="85" t="n"/>
    </row>
    <row r="162" ht="11.25" customHeight="1" s="93">
      <c r="A162" s="90" t="n"/>
      <c r="C162" s="85" t="n"/>
    </row>
    <row r="163" ht="11.25" customHeight="1" s="93">
      <c r="A163" s="90" t="n"/>
      <c r="C163" s="85" t="n"/>
    </row>
    <row r="164" ht="11.25" customHeight="1" s="93">
      <c r="A164" s="90" t="n"/>
      <c r="C164" s="85" t="n"/>
    </row>
    <row r="165" ht="11.25" customHeight="1" s="93">
      <c r="A165" s="90" t="n"/>
      <c r="C165" s="85" t="n"/>
    </row>
    <row r="166" ht="11.25" customHeight="1" s="93">
      <c r="A166" s="90" t="n"/>
      <c r="C166" s="85" t="n"/>
    </row>
    <row r="167" ht="11.25" customHeight="1" s="93">
      <c r="A167" s="90" t="n"/>
      <c r="C167" s="85" t="n"/>
    </row>
    <row r="168" ht="11.25" customHeight="1" s="93">
      <c r="A168" s="90" t="n"/>
      <c r="C168" s="85" t="n"/>
    </row>
    <row r="169" ht="11.25" customHeight="1" s="93">
      <c r="A169" s="90" t="n"/>
      <c r="C169" s="85" t="n"/>
    </row>
    <row r="170" ht="11.25" customHeight="1" s="93">
      <c r="A170" s="90" t="n"/>
      <c r="C170" s="85" t="n"/>
    </row>
    <row r="171" ht="11.25" customHeight="1" s="93">
      <c r="A171" s="90" t="n"/>
      <c r="C171" s="85" t="n"/>
    </row>
    <row r="172" ht="11.25" customHeight="1" s="93">
      <c r="A172" s="90" t="n"/>
      <c r="C172" s="85" t="n"/>
    </row>
    <row r="173" ht="11.25" customHeight="1" s="93">
      <c r="A173" s="90" t="n"/>
      <c r="C173" s="85" t="n"/>
    </row>
    <row r="174" ht="11.25" customHeight="1" s="93">
      <c r="A174" s="90" t="n"/>
      <c r="C174" s="85" t="n"/>
    </row>
    <row r="175" ht="11.25" customHeight="1" s="93">
      <c r="A175" s="90" t="n"/>
      <c r="C175" s="85" t="n"/>
    </row>
    <row r="176" ht="11.25" customHeight="1" s="93">
      <c r="A176" s="90" t="n"/>
      <c r="C176" s="85" t="n"/>
    </row>
    <row r="177" ht="11.25" customHeight="1" s="93">
      <c r="A177" s="90" t="n"/>
      <c r="C177" s="85" t="n"/>
    </row>
    <row r="178" ht="11.25" customHeight="1" s="93">
      <c r="A178" s="90" t="n"/>
      <c r="C178" s="85" t="n"/>
    </row>
    <row r="179" ht="11.25" customHeight="1" s="93">
      <c r="A179" s="90" t="n"/>
      <c r="C179" s="85" t="n"/>
    </row>
    <row r="180" ht="11.25" customHeight="1" s="93">
      <c r="A180" s="90" t="n"/>
      <c r="C180" s="85" t="n"/>
    </row>
    <row r="181" ht="11.25" customHeight="1" s="93">
      <c r="A181" s="90" t="n"/>
      <c r="C181" s="85" t="n"/>
    </row>
    <row r="182" ht="11.25" customHeight="1" s="93">
      <c r="A182" s="90" t="n"/>
      <c r="C182" s="85" t="n"/>
    </row>
    <row r="183" ht="11.25" customHeight="1" s="93">
      <c r="A183" s="90" t="n"/>
      <c r="C183" s="85" t="n"/>
    </row>
    <row r="184" ht="11.25" customHeight="1" s="93">
      <c r="A184" s="90" t="n"/>
      <c r="C184" s="85" t="n"/>
    </row>
    <row r="185" ht="11.25" customHeight="1" s="93">
      <c r="A185" s="90" t="n"/>
      <c r="C185" s="85" t="n"/>
    </row>
    <row r="186" ht="11.25" customHeight="1" s="93">
      <c r="A186" s="90" t="n"/>
      <c r="C186" s="85" t="n"/>
    </row>
    <row r="187" ht="11.25" customHeight="1" s="93">
      <c r="A187" s="90" t="n"/>
      <c r="C187" s="85" t="n"/>
    </row>
    <row r="188" ht="11.25" customHeight="1" s="93">
      <c r="A188" s="90" t="n"/>
      <c r="C188" s="85" t="n"/>
    </row>
    <row r="189" ht="11.25" customHeight="1" s="93">
      <c r="A189" s="90" t="n"/>
      <c r="C189" s="85" t="n"/>
    </row>
    <row r="190" ht="11.25" customHeight="1" s="93">
      <c r="A190" s="90" t="n"/>
      <c r="C190" s="85" t="n"/>
    </row>
    <row r="191" ht="11.25" customHeight="1" s="93">
      <c r="A191" s="90" t="n"/>
      <c r="C191" s="85" t="n"/>
    </row>
    <row r="192" ht="11.25" customHeight="1" s="93">
      <c r="A192" s="90" t="n"/>
      <c r="C192" s="85" t="n"/>
    </row>
    <row r="193" ht="11.25" customHeight="1" s="93">
      <c r="A193" s="90" t="n"/>
      <c r="C193" s="85" t="n"/>
    </row>
    <row r="194" ht="11.25" customHeight="1" s="93">
      <c r="A194" s="90" t="n"/>
      <c r="C194" s="85" t="n"/>
    </row>
    <row r="195" ht="11.25" customHeight="1" s="93">
      <c r="A195" s="90" t="n"/>
      <c r="C195" s="85" t="n"/>
    </row>
    <row r="196" ht="11.25" customHeight="1" s="93">
      <c r="A196" s="90" t="n"/>
      <c r="C196" s="85" t="n"/>
    </row>
    <row r="197" ht="11.25" customHeight="1" s="93">
      <c r="A197" s="90" t="n"/>
      <c r="C197" s="85" t="n"/>
    </row>
    <row r="198" ht="11.25" customHeight="1" s="93">
      <c r="A198" s="90" t="n"/>
      <c r="C198" s="85" t="n"/>
    </row>
    <row r="199" ht="11.25" customHeight="1" s="93">
      <c r="A199" s="90" t="n"/>
      <c r="C199" s="85" t="n"/>
    </row>
    <row r="200" ht="11.25" customHeight="1" s="93">
      <c r="A200" s="90" t="n"/>
      <c r="C200" s="85" t="n"/>
    </row>
    <row r="201" ht="11.25" customHeight="1" s="93">
      <c r="A201" s="90" t="n"/>
      <c r="C201" s="85" t="n"/>
    </row>
    <row r="202" ht="11.25" customHeight="1" s="93">
      <c r="A202" s="90" t="n"/>
      <c r="C202" s="85" t="n"/>
    </row>
    <row r="203" ht="11.25" customHeight="1" s="93">
      <c r="A203" s="90" t="n"/>
      <c r="C203" s="85" t="n"/>
    </row>
    <row r="204" ht="11.25" customHeight="1" s="93">
      <c r="A204" s="90" t="n"/>
      <c r="C204" s="85" t="n"/>
    </row>
    <row r="205" ht="11.25" customHeight="1" s="93">
      <c r="A205" s="90" t="n"/>
      <c r="C205" s="85" t="n"/>
    </row>
    <row r="206" ht="11.25" customHeight="1" s="93">
      <c r="A206" s="90" t="n"/>
      <c r="C206" s="85" t="n"/>
    </row>
    <row r="207" ht="11.25" customHeight="1" s="93">
      <c r="A207" s="90" t="n"/>
      <c r="C207" s="85" t="n"/>
    </row>
    <row r="208" ht="11.25" customHeight="1" s="93">
      <c r="A208" s="90" t="n"/>
      <c r="C208" s="85" t="n"/>
    </row>
    <row r="209" ht="11.25" customHeight="1" s="93">
      <c r="A209" s="90" t="n"/>
      <c r="C209" s="85" t="n"/>
    </row>
    <row r="210" ht="11.25" customHeight="1" s="93">
      <c r="A210" s="90" t="n"/>
      <c r="C210" s="85" t="n"/>
    </row>
    <row r="211" ht="11.25" customHeight="1" s="93">
      <c r="A211" s="90" t="n"/>
      <c r="C211" s="85" t="n"/>
    </row>
    <row r="212" ht="11.25" customHeight="1" s="93">
      <c r="A212" s="90" t="n"/>
      <c r="C212" s="85" t="n"/>
    </row>
    <row r="213" ht="11.25" customHeight="1" s="93">
      <c r="A213" s="90" t="n"/>
      <c r="C213" s="85" t="n"/>
    </row>
    <row r="214" ht="11.25" customHeight="1" s="93">
      <c r="A214" s="90" t="n"/>
      <c r="C214" s="85" t="n"/>
    </row>
    <row r="215" ht="11.25" customHeight="1" s="93">
      <c r="A215" s="90" t="n"/>
      <c r="C215" s="85" t="n"/>
    </row>
    <row r="216" ht="11.25" customHeight="1" s="93">
      <c r="A216" s="90" t="n"/>
      <c r="C216" s="85" t="n"/>
    </row>
    <row r="217" ht="11.25" customHeight="1" s="93">
      <c r="A217" s="90" t="n"/>
      <c r="C217" s="85" t="n"/>
    </row>
    <row r="218" ht="11.25" customHeight="1" s="93">
      <c r="A218" s="90" t="n"/>
      <c r="C218" s="85" t="n"/>
    </row>
    <row r="219" ht="11.25" customHeight="1" s="93">
      <c r="A219" s="90" t="n"/>
      <c r="C219" s="85" t="n"/>
    </row>
    <row r="220" ht="11.25" customHeight="1" s="93">
      <c r="A220" s="90" t="n"/>
      <c r="C220" s="85" t="n"/>
    </row>
    <row r="221" ht="11.25" customHeight="1" s="93">
      <c r="A221" s="90" t="n"/>
      <c r="C221" s="85" t="n"/>
    </row>
    <row r="222" ht="11.25" customHeight="1" s="93">
      <c r="A222" s="90" t="n"/>
      <c r="C222" s="85" t="n"/>
    </row>
    <row r="223" ht="11.25" customHeight="1" s="93">
      <c r="A223" s="90" t="n"/>
      <c r="C223" s="85" t="n"/>
    </row>
    <row r="224" ht="11.25" customHeight="1" s="93">
      <c r="A224" s="90" t="n"/>
      <c r="C224" s="85" t="n"/>
    </row>
    <row r="225" ht="11.25" customHeight="1" s="93">
      <c r="A225" s="90" t="n"/>
      <c r="C225" s="85" t="n"/>
    </row>
    <row r="226" ht="11.25" customHeight="1" s="93">
      <c r="A226" s="90" t="n"/>
      <c r="C226" s="85" t="n"/>
    </row>
    <row r="227" ht="11.25" customHeight="1" s="93">
      <c r="A227" s="90" t="n"/>
      <c r="C227" s="85" t="n"/>
    </row>
    <row r="228" ht="11.25" customHeight="1" s="93">
      <c r="A228" s="90" t="n"/>
      <c r="C228" s="85" t="n"/>
    </row>
    <row r="229" ht="11.25" customHeight="1" s="93">
      <c r="A229" s="90" t="n"/>
      <c r="C229" s="85" t="n"/>
    </row>
    <row r="230" ht="11.25" customHeight="1" s="93">
      <c r="A230" s="90" t="n"/>
      <c r="C230" s="85" t="n"/>
    </row>
    <row r="231" ht="11.25" customHeight="1" s="93">
      <c r="A231" s="90" t="n"/>
      <c r="C231" s="85" t="n"/>
    </row>
    <row r="232" ht="11.25" customHeight="1" s="93">
      <c r="A232" s="90" t="n"/>
      <c r="C232" s="85" t="n"/>
    </row>
    <row r="233" ht="11.25" customHeight="1" s="93">
      <c r="A233" s="90" t="n"/>
      <c r="C233" s="85" t="n"/>
    </row>
    <row r="234" ht="11.25" customHeight="1" s="93">
      <c r="A234" s="90" t="n"/>
      <c r="C234" s="85" t="n"/>
    </row>
    <row r="235" ht="11.25" customHeight="1" s="93">
      <c r="A235" s="90" t="n"/>
      <c r="C235" s="85" t="n"/>
    </row>
    <row r="236" ht="11.25" customHeight="1" s="93">
      <c r="A236" s="90" t="n"/>
      <c r="C236" s="85" t="n"/>
    </row>
    <row r="237" ht="11.25" customHeight="1" s="93">
      <c r="A237" s="90" t="n"/>
      <c r="C237" s="85" t="n"/>
    </row>
    <row r="238" ht="11.25" customHeight="1" s="93">
      <c r="A238" s="90" t="n"/>
      <c r="C238" s="85" t="n"/>
    </row>
    <row r="239" ht="11.25" customHeight="1" s="93">
      <c r="A239" s="90" t="n"/>
      <c r="C239" s="85" t="n"/>
    </row>
    <row r="240" ht="11.25" customHeight="1" s="93">
      <c r="A240" s="90" t="n"/>
      <c r="C240" s="85" t="n"/>
    </row>
    <row r="241" ht="11.25" customHeight="1" s="93">
      <c r="A241" s="90" t="n"/>
      <c r="C241" s="85" t="n"/>
    </row>
    <row r="242" ht="11.25" customHeight="1" s="93">
      <c r="A242" s="90" t="n"/>
      <c r="C242" s="85" t="n"/>
    </row>
    <row r="243" ht="11.25" customHeight="1" s="93">
      <c r="A243" s="90" t="n"/>
      <c r="C243" s="85" t="n"/>
    </row>
    <row r="244" ht="11.25" customHeight="1" s="93">
      <c r="A244" s="90" t="n"/>
      <c r="C244" s="85" t="n"/>
    </row>
    <row r="245" ht="11.25" customHeight="1" s="93">
      <c r="A245" s="90" t="n"/>
      <c r="C245" s="85" t="n"/>
    </row>
    <row r="246" ht="11.25" customHeight="1" s="93">
      <c r="A246" s="90" t="n"/>
      <c r="C246" s="85" t="n"/>
    </row>
    <row r="247" ht="11.25" customHeight="1" s="93">
      <c r="A247" s="90" t="n"/>
      <c r="C247" s="85" t="n"/>
    </row>
    <row r="248" ht="11.25" customHeight="1" s="93">
      <c r="A248" s="90" t="n"/>
      <c r="C248" s="85" t="n"/>
    </row>
    <row r="249" ht="11.25" customHeight="1" s="93">
      <c r="A249" s="90" t="n"/>
      <c r="C249" s="85" t="n"/>
    </row>
    <row r="250" ht="11.25" customHeight="1" s="93">
      <c r="A250" s="90" t="n"/>
      <c r="C250" s="85" t="n"/>
    </row>
    <row r="251" ht="11.25" customHeight="1" s="93">
      <c r="A251" s="90" t="n"/>
      <c r="C251" s="85" t="n"/>
    </row>
    <row r="252" ht="11.25" customHeight="1" s="93">
      <c r="A252" s="90" t="n"/>
      <c r="C252" s="85" t="n"/>
    </row>
    <row r="253" ht="11.25" customHeight="1" s="93">
      <c r="A253" s="90" t="n"/>
      <c r="C253" s="85" t="n"/>
    </row>
    <row r="254" ht="11.25" customHeight="1" s="93">
      <c r="A254" s="90" t="n"/>
      <c r="C254" s="85" t="n"/>
    </row>
    <row r="255" ht="11.25" customHeight="1" s="93">
      <c r="A255" s="90" t="n"/>
      <c r="C255" s="85" t="n"/>
    </row>
    <row r="256" ht="11.25" customHeight="1" s="93">
      <c r="A256" s="90" t="n"/>
      <c r="C256" s="85" t="n"/>
    </row>
    <row r="257" ht="11.25" customHeight="1" s="93">
      <c r="A257" s="90" t="n"/>
      <c r="C257" s="85" t="n"/>
    </row>
    <row r="258" ht="11.25" customHeight="1" s="93">
      <c r="A258" s="90" t="n"/>
      <c r="C258" s="85" t="n"/>
    </row>
    <row r="259" ht="11.25" customHeight="1" s="93">
      <c r="A259" s="90" t="n"/>
      <c r="C259" s="85" t="n"/>
    </row>
    <row r="260" ht="11.25" customHeight="1" s="93">
      <c r="A260" s="90" t="n"/>
      <c r="C260" s="85" t="n"/>
    </row>
    <row r="261" ht="11.25" customHeight="1" s="93">
      <c r="A261" s="90" t="n"/>
      <c r="C261" s="85" t="n"/>
    </row>
    <row r="262" ht="11.25" customHeight="1" s="93">
      <c r="A262" s="90" t="n"/>
      <c r="C262" s="85" t="n"/>
    </row>
    <row r="263" ht="11.25" customHeight="1" s="93">
      <c r="A263" s="90" t="n"/>
      <c r="C263" s="85" t="n"/>
    </row>
    <row r="264" ht="11.25" customHeight="1" s="93">
      <c r="A264" s="90" t="n"/>
      <c r="C264" s="85" t="n"/>
    </row>
    <row r="265" ht="11.25" customHeight="1" s="93">
      <c r="A265" s="90" t="n"/>
      <c r="C265" s="85" t="n"/>
    </row>
    <row r="266" ht="11.25" customHeight="1" s="93">
      <c r="A266" s="90" t="n"/>
      <c r="C266" s="85" t="n"/>
    </row>
    <row r="267" ht="11.25" customHeight="1" s="93">
      <c r="A267" s="90" t="n"/>
      <c r="C267" s="85" t="n"/>
    </row>
    <row r="268" ht="11.25" customHeight="1" s="93">
      <c r="A268" s="90" t="n"/>
      <c r="C268" s="85" t="n"/>
    </row>
    <row r="269" ht="11.25" customHeight="1" s="93">
      <c r="A269" s="90" t="n"/>
      <c r="C269" s="85" t="n"/>
    </row>
    <row r="270" ht="11.25" customHeight="1" s="93">
      <c r="A270" s="90" t="n"/>
      <c r="C270" s="85" t="n"/>
    </row>
    <row r="271" ht="11.25" customHeight="1" s="93">
      <c r="A271" s="90" t="n"/>
      <c r="C271" s="85" t="n"/>
    </row>
    <row r="272" ht="11.25" customHeight="1" s="93">
      <c r="A272" s="90" t="n"/>
      <c r="C272" s="85" t="n"/>
    </row>
    <row r="273" ht="11.25" customHeight="1" s="93">
      <c r="A273" s="90" t="n"/>
      <c r="C273" s="85" t="n"/>
    </row>
    <row r="274" ht="11.25" customHeight="1" s="93">
      <c r="A274" s="90" t="n"/>
      <c r="C274" s="85" t="n"/>
    </row>
    <row r="275" ht="11.25" customHeight="1" s="93">
      <c r="A275" s="90" t="n"/>
      <c r="C275" s="85" t="n"/>
    </row>
    <row r="276" ht="11.25" customHeight="1" s="93">
      <c r="A276" s="90" t="n"/>
      <c r="C276" s="85" t="n"/>
    </row>
    <row r="277" ht="11.25" customHeight="1" s="93">
      <c r="A277" s="90" t="n"/>
      <c r="C277" s="85" t="n"/>
    </row>
    <row r="278" ht="11.25" customHeight="1" s="93">
      <c r="A278" s="90" t="n"/>
      <c r="C278" s="85" t="n"/>
    </row>
    <row r="279" ht="11.25" customHeight="1" s="93">
      <c r="A279" s="90" t="n"/>
      <c r="C279" s="85" t="n"/>
    </row>
    <row r="280" ht="11.25" customHeight="1" s="93">
      <c r="A280" s="90" t="n"/>
      <c r="C280" s="85" t="n"/>
    </row>
    <row r="281" ht="11.25" customHeight="1" s="93">
      <c r="A281" s="90" t="n"/>
      <c r="C281" s="85" t="n"/>
    </row>
    <row r="282" ht="11.25" customHeight="1" s="93">
      <c r="A282" s="90" t="n"/>
      <c r="C282" s="85" t="n"/>
    </row>
    <row r="283" ht="11.25" customHeight="1" s="93">
      <c r="A283" s="90" t="n"/>
      <c r="C283" s="85" t="n"/>
    </row>
    <row r="284" ht="11.25" customHeight="1" s="93">
      <c r="A284" s="90" t="n"/>
      <c r="C284" s="85" t="n"/>
    </row>
    <row r="285" ht="11.25" customHeight="1" s="93">
      <c r="A285" s="90" t="n"/>
      <c r="C285" s="85" t="n"/>
    </row>
    <row r="286" ht="11.25" customHeight="1" s="93">
      <c r="A286" s="90" t="n"/>
      <c r="C286" s="85" t="n"/>
    </row>
    <row r="287" ht="11.25" customHeight="1" s="93">
      <c r="A287" s="90" t="n"/>
      <c r="C287" s="85" t="n"/>
    </row>
    <row r="288" ht="11.25" customHeight="1" s="93">
      <c r="A288" s="90" t="n"/>
      <c r="C288" s="85" t="n"/>
    </row>
    <row r="289" ht="11.25" customHeight="1" s="93">
      <c r="A289" s="90" t="n"/>
      <c r="C289" s="85" t="n"/>
    </row>
    <row r="290" ht="11.25" customHeight="1" s="93">
      <c r="A290" s="90" t="n"/>
      <c r="C290" s="85" t="n"/>
    </row>
    <row r="291" ht="11.25" customHeight="1" s="93">
      <c r="A291" s="90" t="n"/>
      <c r="C291" s="85" t="n"/>
    </row>
    <row r="292" ht="11.25" customHeight="1" s="93">
      <c r="A292" s="90" t="n"/>
      <c r="C292" s="85" t="n"/>
    </row>
    <row r="293" ht="11.25" customHeight="1" s="93">
      <c r="A293" s="90" t="n"/>
      <c r="C293" s="85" t="n"/>
    </row>
    <row r="294" ht="11.25" customHeight="1" s="93">
      <c r="A294" s="90" t="n"/>
      <c r="C294" s="85" t="n"/>
    </row>
    <row r="295" ht="11.25" customHeight="1" s="93">
      <c r="A295" s="90" t="n"/>
      <c r="C295" s="85" t="n"/>
    </row>
    <row r="296" ht="11.25" customHeight="1" s="93">
      <c r="A296" s="90" t="n"/>
      <c r="C296" s="85" t="n"/>
    </row>
    <row r="297" ht="11.25" customHeight="1" s="93">
      <c r="A297" s="90" t="n"/>
      <c r="C297" s="85" t="n"/>
    </row>
    <row r="298" ht="11.25" customHeight="1" s="93">
      <c r="A298" s="90" t="n"/>
      <c r="C298" s="85" t="n"/>
    </row>
    <row r="299" ht="11.25" customHeight="1" s="93">
      <c r="A299" s="90" t="n"/>
      <c r="C299" s="85" t="n"/>
    </row>
    <row r="300" ht="11.25" customHeight="1" s="93">
      <c r="A300" s="90" t="n"/>
      <c r="C300" s="85" t="n"/>
    </row>
    <row r="301" ht="11.25" customHeight="1" s="93">
      <c r="A301" s="90" t="n"/>
      <c r="C301" s="85" t="n"/>
    </row>
    <row r="302" ht="11.25" customHeight="1" s="93">
      <c r="A302" s="90" t="n"/>
      <c r="C302" s="85" t="n"/>
    </row>
    <row r="303" ht="11.25" customHeight="1" s="93">
      <c r="A303" s="90" t="n"/>
      <c r="C303" s="85" t="n"/>
    </row>
    <row r="304" ht="11.25" customHeight="1" s="93">
      <c r="A304" s="90" t="n"/>
      <c r="C304" s="85" t="n"/>
    </row>
    <row r="305" ht="11.25" customHeight="1" s="93">
      <c r="A305" s="90" t="n"/>
      <c r="C305" s="85" t="n"/>
    </row>
    <row r="306" ht="11.25" customHeight="1" s="93">
      <c r="A306" s="90" t="n"/>
      <c r="C306" s="85" t="n"/>
    </row>
    <row r="307" ht="11.25" customHeight="1" s="93">
      <c r="A307" s="90" t="n"/>
      <c r="C307" s="85" t="n"/>
    </row>
    <row r="308" ht="11.25" customHeight="1" s="93">
      <c r="A308" s="90" t="n"/>
      <c r="C308" s="85" t="n"/>
    </row>
    <row r="309" ht="11.25" customHeight="1" s="93">
      <c r="A309" s="90" t="n"/>
      <c r="C309" s="85" t="n"/>
    </row>
    <row r="310" ht="11.25" customHeight="1" s="93">
      <c r="A310" s="90" t="n"/>
      <c r="C310" s="85" t="n"/>
    </row>
    <row r="311" ht="11.25" customHeight="1" s="93">
      <c r="A311" s="90" t="n"/>
      <c r="C311" s="85" t="n"/>
    </row>
    <row r="312" ht="11.25" customHeight="1" s="93">
      <c r="A312" s="90" t="n"/>
      <c r="C312" s="85" t="n"/>
    </row>
    <row r="313" ht="11.25" customHeight="1" s="93">
      <c r="A313" s="90" t="n"/>
      <c r="C313" s="85" t="n"/>
    </row>
    <row r="314" ht="11.25" customHeight="1" s="93">
      <c r="A314" s="90" t="n"/>
      <c r="C314" s="85" t="n"/>
    </row>
    <row r="315" ht="11.25" customHeight="1" s="93">
      <c r="A315" s="90" t="n"/>
      <c r="C315" s="85" t="n"/>
    </row>
    <row r="316" ht="11.25" customHeight="1" s="93">
      <c r="A316" s="90" t="n"/>
      <c r="C316" s="85" t="n"/>
    </row>
    <row r="317" ht="11.25" customHeight="1" s="93">
      <c r="A317" s="90" t="n"/>
      <c r="C317" s="85" t="n"/>
    </row>
    <row r="318" ht="11.25" customHeight="1" s="93">
      <c r="A318" s="90" t="n"/>
      <c r="C318" s="85" t="n"/>
    </row>
    <row r="319" ht="11.25" customHeight="1" s="93">
      <c r="A319" s="90" t="n"/>
      <c r="C319" s="85" t="n"/>
    </row>
    <row r="320" ht="11.25" customHeight="1" s="93">
      <c r="A320" s="90" t="n"/>
      <c r="C320" s="85" t="n"/>
    </row>
    <row r="321" ht="11.25" customHeight="1" s="93">
      <c r="A321" s="90" t="n"/>
      <c r="C321" s="85" t="n"/>
    </row>
    <row r="322" ht="11.25" customHeight="1" s="93">
      <c r="A322" s="90" t="n"/>
      <c r="C322" s="85" t="n"/>
    </row>
    <row r="323" ht="11.25" customHeight="1" s="93">
      <c r="A323" s="90" t="n"/>
      <c r="C323" s="85" t="n"/>
    </row>
    <row r="324" ht="11.25" customHeight="1" s="93">
      <c r="A324" s="90" t="n"/>
      <c r="C324" s="85" t="n"/>
    </row>
    <row r="325" ht="11.25" customHeight="1" s="93">
      <c r="A325" s="90" t="n"/>
      <c r="C325" s="85" t="n"/>
    </row>
    <row r="326" ht="11.25" customHeight="1" s="93">
      <c r="A326" s="90" t="n"/>
      <c r="C326" s="85" t="n"/>
    </row>
    <row r="327" ht="11.25" customHeight="1" s="93">
      <c r="A327" s="90" t="n"/>
      <c r="C327" s="85" t="n"/>
    </row>
    <row r="328" ht="11.25" customHeight="1" s="93">
      <c r="A328" s="90" t="n"/>
      <c r="C328" s="85" t="n"/>
    </row>
    <row r="329" ht="11.25" customHeight="1" s="93">
      <c r="A329" s="90" t="n"/>
      <c r="C329" s="85" t="n"/>
    </row>
    <row r="330" ht="11.25" customHeight="1" s="93">
      <c r="A330" s="90" t="n"/>
      <c r="C330" s="85" t="n"/>
    </row>
    <row r="331" ht="11.25" customHeight="1" s="93">
      <c r="A331" s="90" t="n"/>
      <c r="C331" s="85" t="n"/>
    </row>
    <row r="332" ht="11.25" customHeight="1" s="93">
      <c r="A332" s="90" t="n"/>
      <c r="C332" s="85" t="n"/>
    </row>
    <row r="333" ht="11.25" customHeight="1" s="93">
      <c r="A333" s="90" t="n"/>
      <c r="C333" s="85" t="n"/>
    </row>
    <row r="334" ht="11.25" customHeight="1" s="93">
      <c r="A334" s="90" t="n"/>
      <c r="C334" s="85" t="n"/>
    </row>
    <row r="335" ht="11.25" customHeight="1" s="93">
      <c r="A335" s="90" t="n"/>
      <c r="C335" s="85" t="n"/>
    </row>
    <row r="336" ht="11.25" customHeight="1" s="93">
      <c r="A336" s="90" t="n"/>
      <c r="C336" s="85" t="n"/>
    </row>
    <row r="337" ht="11.25" customHeight="1" s="93">
      <c r="A337" s="90" t="n"/>
      <c r="C337" s="85" t="n"/>
    </row>
    <row r="338" ht="11.25" customHeight="1" s="93">
      <c r="A338" s="90" t="n"/>
      <c r="C338" s="85" t="n"/>
    </row>
    <row r="339" ht="11.25" customHeight="1" s="93">
      <c r="A339" s="90" t="n"/>
      <c r="C339" s="85" t="n"/>
    </row>
    <row r="340" ht="11.25" customHeight="1" s="93">
      <c r="A340" s="90" t="n"/>
      <c r="C340" s="85" t="n"/>
    </row>
    <row r="341" ht="11.25" customHeight="1" s="93">
      <c r="A341" s="90" t="n"/>
      <c r="C341" s="85" t="n"/>
    </row>
    <row r="342" ht="11.25" customHeight="1" s="93">
      <c r="A342" s="90" t="n"/>
      <c r="C342" s="85" t="n"/>
    </row>
    <row r="343" ht="11.25" customHeight="1" s="93">
      <c r="A343" s="90" t="n"/>
      <c r="C343" s="85" t="n"/>
    </row>
    <row r="344" ht="11.25" customHeight="1" s="93">
      <c r="A344" s="90" t="n"/>
      <c r="C344" s="85" t="n"/>
    </row>
    <row r="345" ht="11.25" customHeight="1" s="93">
      <c r="A345" s="90" t="n"/>
      <c r="C345" s="85" t="n"/>
    </row>
    <row r="346" ht="11.25" customHeight="1" s="93">
      <c r="A346" s="90" t="n"/>
      <c r="C346" s="85" t="n"/>
    </row>
    <row r="347" ht="11.25" customHeight="1" s="93">
      <c r="A347" s="90" t="n"/>
      <c r="C347" s="85" t="n"/>
    </row>
    <row r="348" ht="11.25" customHeight="1" s="93">
      <c r="A348" s="90" t="n"/>
      <c r="C348" s="85" t="n"/>
    </row>
    <row r="349" ht="11.25" customHeight="1" s="93">
      <c r="A349" s="90" t="n"/>
      <c r="C349" s="85" t="n"/>
    </row>
    <row r="350" ht="11.25" customHeight="1" s="93">
      <c r="A350" s="90" t="n"/>
      <c r="C350" s="85" t="n"/>
    </row>
    <row r="351" ht="11.25" customHeight="1" s="93">
      <c r="A351" s="90" t="n"/>
      <c r="C351" s="85" t="n"/>
    </row>
    <row r="352" ht="11.25" customHeight="1" s="93">
      <c r="A352" s="90" t="n"/>
      <c r="C352" s="85" t="n"/>
    </row>
    <row r="353" ht="11.25" customHeight="1" s="93">
      <c r="A353" s="90" t="n"/>
      <c r="C353" s="85" t="n"/>
    </row>
    <row r="354" ht="11.25" customHeight="1" s="93">
      <c r="A354" s="90" t="n"/>
      <c r="C354" s="85" t="n"/>
    </row>
    <row r="355" ht="11.25" customHeight="1" s="93">
      <c r="A355" s="90" t="n"/>
      <c r="C355" s="85" t="n"/>
    </row>
    <row r="356" ht="11.25" customHeight="1" s="93">
      <c r="A356" s="90" t="n"/>
      <c r="C356" s="85" t="n"/>
    </row>
    <row r="357" ht="11.25" customHeight="1" s="93">
      <c r="A357" s="90" t="n"/>
      <c r="C357" s="85" t="n"/>
    </row>
    <row r="358" ht="11.25" customHeight="1" s="93">
      <c r="A358" s="90" t="n"/>
      <c r="C358" s="85" t="n"/>
    </row>
    <row r="359" ht="11.25" customHeight="1" s="93">
      <c r="A359" s="90" t="n"/>
      <c r="C359" s="85" t="n"/>
    </row>
    <row r="360" ht="11.25" customHeight="1" s="93">
      <c r="A360" s="90" t="n"/>
      <c r="C360" s="85" t="n"/>
    </row>
    <row r="361" ht="11.25" customHeight="1" s="93">
      <c r="A361" s="90" t="n"/>
      <c r="C361" s="85" t="n"/>
    </row>
    <row r="362" ht="11.25" customHeight="1" s="93">
      <c r="A362" s="90" t="n"/>
      <c r="C362" s="85" t="n"/>
    </row>
    <row r="363" ht="11.25" customHeight="1" s="93">
      <c r="A363" s="90" t="n"/>
      <c r="C363" s="85" t="n"/>
    </row>
    <row r="364" ht="11.25" customHeight="1" s="93">
      <c r="A364" s="90" t="n"/>
      <c r="C364" s="85" t="n"/>
    </row>
    <row r="365" ht="11.25" customHeight="1" s="93">
      <c r="A365" s="90" t="n"/>
      <c r="C365" s="85" t="n"/>
    </row>
    <row r="366" ht="11.25" customHeight="1" s="93">
      <c r="A366" s="90" t="n"/>
      <c r="C366" s="85" t="n"/>
    </row>
    <row r="367" ht="11.25" customHeight="1" s="93">
      <c r="A367" s="90" t="n"/>
      <c r="C367" s="85" t="n"/>
    </row>
    <row r="368" ht="11.25" customHeight="1" s="93">
      <c r="A368" s="90" t="n"/>
      <c r="C368" s="85" t="n"/>
    </row>
    <row r="369" ht="11.25" customHeight="1" s="93">
      <c r="A369" s="90" t="n"/>
      <c r="C369" s="85" t="n"/>
    </row>
    <row r="370" ht="11.25" customHeight="1" s="93">
      <c r="A370" s="90" t="n"/>
      <c r="C370" s="85" t="n"/>
    </row>
    <row r="371" ht="11.25" customHeight="1" s="93">
      <c r="A371" s="90" t="n"/>
      <c r="C371" s="85" t="n"/>
    </row>
    <row r="372" ht="11.25" customHeight="1" s="93">
      <c r="A372" s="90" t="n"/>
      <c r="C372" s="85" t="n"/>
    </row>
    <row r="373" ht="11.25" customHeight="1" s="93">
      <c r="A373" s="90" t="n"/>
      <c r="C373" s="85" t="n"/>
    </row>
    <row r="374" ht="11.25" customHeight="1" s="93">
      <c r="A374" s="90" t="n"/>
      <c r="C374" s="85" t="n"/>
    </row>
    <row r="375" ht="11.25" customHeight="1" s="93">
      <c r="A375" s="90" t="n"/>
      <c r="C375" s="85" t="n"/>
    </row>
    <row r="376" ht="11.25" customHeight="1" s="93">
      <c r="A376" s="90" t="n"/>
      <c r="C376" s="85" t="n"/>
    </row>
    <row r="377" ht="11.25" customHeight="1" s="93">
      <c r="A377" s="90" t="n"/>
      <c r="C377" s="85" t="n"/>
    </row>
    <row r="378" ht="11.25" customHeight="1" s="93">
      <c r="A378" s="90" t="n"/>
      <c r="C378" s="85" t="n"/>
    </row>
    <row r="379" ht="11.25" customHeight="1" s="93">
      <c r="A379" s="90" t="n"/>
      <c r="C379" s="85" t="n"/>
    </row>
    <row r="380" ht="11.25" customHeight="1" s="93">
      <c r="A380" s="90" t="n"/>
      <c r="C380" s="85" t="n"/>
    </row>
    <row r="381" ht="11.25" customHeight="1" s="93">
      <c r="A381" s="90" t="n"/>
      <c r="C381" s="85" t="n"/>
    </row>
    <row r="382" ht="11.25" customHeight="1" s="93">
      <c r="A382" s="90" t="n"/>
      <c r="C382" s="85" t="n"/>
    </row>
    <row r="383" ht="11.25" customHeight="1" s="93">
      <c r="A383" s="90" t="n"/>
      <c r="C383" s="85" t="n"/>
    </row>
    <row r="384" ht="11.25" customHeight="1" s="93">
      <c r="A384" s="90" t="n"/>
      <c r="C384" s="85" t="n"/>
    </row>
    <row r="385" ht="11.25" customHeight="1" s="93">
      <c r="A385" s="90" t="n"/>
      <c r="C385" s="85" t="n"/>
    </row>
    <row r="386" ht="11.25" customHeight="1" s="93">
      <c r="A386" s="90" t="n"/>
      <c r="C386" s="85" t="n"/>
    </row>
    <row r="387" ht="11.25" customHeight="1" s="93">
      <c r="A387" s="90" t="n"/>
      <c r="C387" s="85" t="n"/>
    </row>
    <row r="388" ht="11.25" customHeight="1" s="93">
      <c r="A388" s="90" t="n"/>
      <c r="C388" s="85" t="n"/>
    </row>
    <row r="389" ht="11.25" customHeight="1" s="93">
      <c r="A389" s="90" t="n"/>
      <c r="C389" s="85" t="n"/>
    </row>
    <row r="390" ht="11.25" customHeight="1" s="93">
      <c r="A390" s="90" t="n"/>
      <c r="C390" s="85" t="n"/>
    </row>
    <row r="391" ht="11.25" customHeight="1" s="93">
      <c r="A391" s="90" t="n"/>
      <c r="C391" s="85" t="n"/>
    </row>
    <row r="392" ht="11.25" customHeight="1" s="93">
      <c r="A392" s="90" t="n"/>
      <c r="C392" s="85" t="n"/>
    </row>
    <row r="393" ht="11.25" customHeight="1" s="93">
      <c r="A393" s="90" t="n"/>
      <c r="C393" s="85" t="n"/>
    </row>
    <row r="394" ht="11.25" customHeight="1" s="93">
      <c r="A394" s="90" t="n"/>
      <c r="C394" s="85" t="n"/>
    </row>
    <row r="395" ht="11.25" customHeight="1" s="93">
      <c r="A395" s="90" t="n"/>
      <c r="C395" s="85" t="n"/>
    </row>
    <row r="396" ht="11.25" customHeight="1" s="93">
      <c r="A396" s="90" t="n"/>
      <c r="C396" s="85" t="n"/>
    </row>
    <row r="397" ht="11.25" customHeight="1" s="93">
      <c r="A397" s="90" t="n"/>
      <c r="C397" s="85" t="n"/>
    </row>
    <row r="398" ht="11.25" customHeight="1" s="93">
      <c r="A398" s="90" t="n"/>
      <c r="C398" s="85" t="n"/>
    </row>
    <row r="399" ht="11.25" customHeight="1" s="93">
      <c r="A399" s="90" t="n"/>
      <c r="C399" s="85" t="n"/>
    </row>
    <row r="400" ht="11.25" customHeight="1" s="93">
      <c r="A400" s="90" t="n"/>
      <c r="C400" s="85" t="n"/>
    </row>
    <row r="401" ht="11.25" customHeight="1" s="93">
      <c r="A401" s="90" t="n"/>
      <c r="C401" s="85" t="n"/>
    </row>
    <row r="402" ht="11.25" customHeight="1" s="93">
      <c r="A402" s="90" t="n"/>
      <c r="C402" s="85" t="n"/>
    </row>
    <row r="403" ht="11.25" customHeight="1" s="93">
      <c r="A403" s="90" t="n"/>
      <c r="C403" s="85" t="n"/>
    </row>
    <row r="404" ht="11.25" customHeight="1" s="93">
      <c r="A404" s="90" t="n"/>
      <c r="C404" s="85" t="n"/>
    </row>
    <row r="405" ht="11.25" customHeight="1" s="93">
      <c r="A405" s="90" t="n"/>
      <c r="C405" s="85" t="n"/>
    </row>
    <row r="406" ht="11.25" customHeight="1" s="93">
      <c r="A406" s="90" t="n"/>
      <c r="C406" s="85" t="n"/>
    </row>
    <row r="407" ht="11.25" customHeight="1" s="93">
      <c r="A407" s="90" t="n"/>
      <c r="C407" s="85" t="n"/>
    </row>
    <row r="408" ht="11.25" customHeight="1" s="93">
      <c r="A408" s="90" t="n"/>
      <c r="C408" s="85" t="n"/>
    </row>
    <row r="409" ht="11.25" customHeight="1" s="93">
      <c r="A409" s="90" t="n"/>
      <c r="C409" s="85" t="n"/>
    </row>
    <row r="410" ht="11.25" customHeight="1" s="93">
      <c r="A410" s="90" t="n"/>
      <c r="C410" s="85" t="n"/>
    </row>
    <row r="411" ht="11.25" customHeight="1" s="93">
      <c r="A411" s="90" t="n"/>
      <c r="C411" s="85" t="n"/>
    </row>
    <row r="412" ht="11.25" customHeight="1" s="93">
      <c r="A412" s="90" t="n"/>
      <c r="C412" s="85" t="n"/>
    </row>
    <row r="413" ht="11.25" customHeight="1" s="93">
      <c r="A413" s="90" t="n"/>
      <c r="C413" s="85" t="n"/>
    </row>
    <row r="414" ht="11.25" customHeight="1" s="93">
      <c r="A414" s="90" t="n"/>
      <c r="C414" s="85" t="n"/>
    </row>
    <row r="415" ht="11.25" customHeight="1" s="93">
      <c r="A415" s="90" t="n"/>
      <c r="C415" s="85" t="n"/>
    </row>
    <row r="416" ht="11.25" customHeight="1" s="93">
      <c r="A416" s="90" t="n"/>
      <c r="C416" s="85" t="n"/>
    </row>
    <row r="417" ht="11.25" customHeight="1" s="93">
      <c r="A417" s="90" t="n"/>
      <c r="C417" s="85" t="n"/>
    </row>
    <row r="418" ht="11.25" customHeight="1" s="93">
      <c r="A418" s="90" t="n"/>
      <c r="C418" s="85" t="n"/>
    </row>
    <row r="419" ht="11.25" customHeight="1" s="93">
      <c r="A419" s="90" t="n"/>
      <c r="C419" s="85" t="n"/>
    </row>
    <row r="420" ht="11.25" customHeight="1" s="93">
      <c r="A420" s="90" t="n"/>
      <c r="C420" s="85" t="n"/>
    </row>
    <row r="421" ht="11.25" customHeight="1" s="93">
      <c r="A421" s="90" t="n"/>
      <c r="C421" s="85" t="n"/>
    </row>
    <row r="422" ht="11.25" customHeight="1" s="93">
      <c r="A422" s="90" t="n"/>
      <c r="C422" s="85" t="n"/>
    </row>
    <row r="423" ht="11.25" customHeight="1" s="93">
      <c r="A423" s="90" t="n"/>
      <c r="C423" s="85" t="n"/>
    </row>
    <row r="424" ht="11.25" customHeight="1" s="93">
      <c r="A424" s="90" t="n"/>
      <c r="C424" s="85" t="n"/>
    </row>
    <row r="425" ht="11.25" customHeight="1" s="93">
      <c r="A425" s="90" t="n"/>
      <c r="C425" s="85" t="n"/>
    </row>
    <row r="426" ht="11.25" customHeight="1" s="93">
      <c r="A426" s="90" t="n"/>
      <c r="C426" s="85" t="n"/>
    </row>
    <row r="427" ht="11.25" customHeight="1" s="93">
      <c r="A427" s="90" t="n"/>
      <c r="C427" s="85" t="n"/>
    </row>
    <row r="428" ht="11.25" customHeight="1" s="93">
      <c r="A428" s="90" t="n"/>
      <c r="C428" s="85" t="n"/>
    </row>
    <row r="429" ht="11.25" customHeight="1" s="93">
      <c r="A429" s="90" t="n"/>
      <c r="C429" s="85" t="n"/>
    </row>
    <row r="430" ht="11.25" customHeight="1" s="93">
      <c r="A430" s="90" t="n"/>
      <c r="C430" s="85" t="n"/>
    </row>
    <row r="431" ht="11.25" customHeight="1" s="93">
      <c r="A431" s="90" t="n"/>
      <c r="C431" s="85" t="n"/>
    </row>
    <row r="432" ht="11.25" customHeight="1" s="93">
      <c r="A432" s="90" t="n"/>
      <c r="C432" s="85" t="n"/>
    </row>
    <row r="433" ht="11.25" customHeight="1" s="93">
      <c r="A433" s="90" t="n"/>
      <c r="C433" s="85" t="n"/>
    </row>
    <row r="434" ht="11.25" customHeight="1" s="93">
      <c r="A434" s="90" t="n"/>
      <c r="C434" s="85" t="n"/>
    </row>
    <row r="435" ht="11.25" customHeight="1" s="93">
      <c r="A435" s="90" t="n"/>
      <c r="C435" s="85" t="n"/>
    </row>
    <row r="436" ht="11.25" customHeight="1" s="93">
      <c r="A436" s="90" t="n"/>
      <c r="C436" s="85" t="n"/>
    </row>
    <row r="437" ht="11.25" customHeight="1" s="93">
      <c r="A437" s="90" t="n"/>
      <c r="C437" s="85" t="n"/>
    </row>
    <row r="438" ht="11.25" customHeight="1" s="93">
      <c r="A438" s="90" t="n"/>
      <c r="C438" s="85" t="n"/>
    </row>
    <row r="439" ht="11.25" customHeight="1" s="93">
      <c r="A439" s="90" t="n"/>
      <c r="C439" s="85" t="n"/>
    </row>
    <row r="440" ht="11.25" customHeight="1" s="93">
      <c r="A440" s="90" t="n"/>
      <c r="C440" s="85" t="n"/>
    </row>
    <row r="441" ht="11.25" customHeight="1" s="93">
      <c r="A441" s="90" t="n"/>
      <c r="C441" s="85" t="n"/>
    </row>
    <row r="442" ht="11.25" customHeight="1" s="93">
      <c r="A442" s="90" t="n"/>
      <c r="C442" s="85" t="n"/>
    </row>
    <row r="443" ht="11.25" customHeight="1" s="93">
      <c r="A443" s="90" t="n"/>
      <c r="C443" s="85" t="n"/>
    </row>
    <row r="444" ht="11.25" customHeight="1" s="93">
      <c r="A444" s="90" t="n"/>
      <c r="C444" s="85" t="n"/>
    </row>
    <row r="445" ht="11.25" customHeight="1" s="93">
      <c r="A445" s="90" t="n"/>
      <c r="C445" s="85" t="n"/>
    </row>
    <row r="446" ht="11.25" customHeight="1" s="93">
      <c r="A446" s="90" t="n"/>
      <c r="C446" s="85" t="n"/>
    </row>
    <row r="447" ht="11.25" customHeight="1" s="93">
      <c r="A447" s="90" t="n"/>
      <c r="C447" s="85" t="n"/>
    </row>
    <row r="448" ht="11.25" customHeight="1" s="93">
      <c r="A448" s="90" t="n"/>
      <c r="C448" s="85" t="n"/>
    </row>
    <row r="449" ht="11.25" customHeight="1" s="93">
      <c r="A449" s="90" t="n"/>
      <c r="C449" s="85" t="n"/>
    </row>
    <row r="450" ht="11.25" customHeight="1" s="93">
      <c r="A450" s="90" t="n"/>
      <c r="C450" s="85" t="n"/>
    </row>
    <row r="451" ht="11.25" customHeight="1" s="93">
      <c r="A451" s="90" t="n"/>
      <c r="C451" s="85" t="n"/>
    </row>
    <row r="452" ht="11.25" customHeight="1" s="93">
      <c r="A452" s="90" t="n"/>
      <c r="C452" s="85" t="n"/>
    </row>
    <row r="453" ht="11.25" customHeight="1" s="93">
      <c r="A453" s="90" t="n"/>
      <c r="C453" s="85" t="n"/>
    </row>
    <row r="454" ht="11.25" customHeight="1" s="93">
      <c r="A454" s="90" t="n"/>
      <c r="C454" s="85" t="n"/>
    </row>
    <row r="455" ht="11.25" customHeight="1" s="93">
      <c r="A455" s="90" t="n"/>
      <c r="C455" s="85" t="n"/>
    </row>
    <row r="456" ht="11.25" customHeight="1" s="93">
      <c r="A456" s="90" t="n"/>
      <c r="C456" s="85" t="n"/>
    </row>
    <row r="457" ht="11.25" customHeight="1" s="93">
      <c r="A457" s="90" t="n"/>
      <c r="C457" s="85" t="n"/>
    </row>
    <row r="458" ht="11.25" customHeight="1" s="93">
      <c r="A458" s="90" t="n"/>
      <c r="C458" s="85" t="n"/>
    </row>
    <row r="459" ht="11.25" customHeight="1" s="93">
      <c r="A459" s="90" t="n"/>
      <c r="C459" s="85" t="n"/>
    </row>
    <row r="460" ht="11.25" customHeight="1" s="93">
      <c r="A460" s="90" t="n"/>
      <c r="C460" s="85" t="n"/>
    </row>
    <row r="461" ht="11.25" customHeight="1" s="93">
      <c r="A461" s="90" t="n"/>
      <c r="C461" s="85" t="n"/>
    </row>
    <row r="462" ht="11.25" customHeight="1" s="93">
      <c r="A462" s="90" t="n"/>
      <c r="C462" s="85" t="n"/>
    </row>
    <row r="463" ht="11.25" customHeight="1" s="93">
      <c r="A463" s="90" t="n"/>
      <c r="C463" s="85" t="n"/>
    </row>
    <row r="464" ht="11.25" customHeight="1" s="93">
      <c r="A464" s="90" t="n"/>
      <c r="C464" s="85" t="n"/>
    </row>
    <row r="465" ht="11.25" customHeight="1" s="93">
      <c r="A465" s="90" t="n"/>
      <c r="C465" s="85" t="n"/>
    </row>
    <row r="466" ht="11.25" customHeight="1" s="93">
      <c r="A466" s="90" t="n"/>
      <c r="C466" s="85" t="n"/>
    </row>
    <row r="467" ht="11.25" customHeight="1" s="93">
      <c r="A467" s="90" t="n"/>
      <c r="C467" s="85" t="n"/>
    </row>
    <row r="468" ht="11.25" customHeight="1" s="93">
      <c r="A468" s="90" t="n"/>
      <c r="C468" s="85" t="n"/>
    </row>
    <row r="469" ht="11.25" customHeight="1" s="93">
      <c r="A469" s="90" t="n"/>
      <c r="C469" s="85" t="n"/>
    </row>
    <row r="470" ht="11.25" customHeight="1" s="93">
      <c r="A470" s="90" t="n"/>
      <c r="C470" s="85" t="n"/>
    </row>
    <row r="471" ht="11.25" customHeight="1" s="93">
      <c r="A471" s="90" t="n"/>
      <c r="C471" s="85" t="n"/>
    </row>
    <row r="472" ht="11.25" customHeight="1" s="93">
      <c r="A472" s="90" t="n"/>
      <c r="C472" s="85" t="n"/>
    </row>
    <row r="473" ht="11.25" customHeight="1" s="93">
      <c r="A473" s="90" t="n"/>
      <c r="C473" s="85" t="n"/>
    </row>
    <row r="474" ht="11.25" customHeight="1" s="93">
      <c r="A474" s="90" t="n"/>
      <c r="C474" s="85" t="n"/>
    </row>
    <row r="475" ht="11.25" customHeight="1" s="93">
      <c r="A475" s="90" t="n"/>
      <c r="C475" s="85" t="n"/>
    </row>
    <row r="476" ht="11.25" customHeight="1" s="93">
      <c r="A476" s="90" t="n"/>
      <c r="C476" s="85" t="n"/>
    </row>
    <row r="477" ht="11.25" customHeight="1" s="93">
      <c r="A477" s="90" t="n"/>
      <c r="C477" s="85" t="n"/>
    </row>
    <row r="478" ht="11.25" customHeight="1" s="93">
      <c r="A478" s="90" t="n"/>
      <c r="C478" s="85" t="n"/>
    </row>
    <row r="479" ht="11.25" customHeight="1" s="93">
      <c r="A479" s="90" t="n"/>
      <c r="C479" s="85" t="n"/>
    </row>
    <row r="480" ht="11.25" customHeight="1" s="93">
      <c r="A480" s="90" t="n"/>
      <c r="C480" s="85" t="n"/>
    </row>
    <row r="481" ht="11.25" customHeight="1" s="93">
      <c r="A481" s="90" t="n"/>
      <c r="C481" s="85" t="n"/>
    </row>
    <row r="482" ht="11.25" customHeight="1" s="93">
      <c r="A482" s="90" t="n"/>
      <c r="C482" s="85" t="n"/>
    </row>
    <row r="483" ht="11.25" customHeight="1" s="93">
      <c r="A483" s="90" t="n"/>
      <c r="C483" s="85" t="n"/>
    </row>
    <row r="484" ht="11.25" customHeight="1" s="93">
      <c r="A484" s="90" t="n"/>
      <c r="C484" s="85" t="n"/>
    </row>
    <row r="485" ht="11.25" customHeight="1" s="93">
      <c r="A485" s="90" t="n"/>
      <c r="C485" s="85" t="n"/>
    </row>
    <row r="486" ht="11.25" customHeight="1" s="93">
      <c r="A486" s="90" t="n"/>
      <c r="C486" s="85" t="n"/>
    </row>
    <row r="487" ht="11.25" customHeight="1" s="93">
      <c r="A487" s="90" t="n"/>
      <c r="C487" s="85" t="n"/>
    </row>
    <row r="488" ht="11.25" customHeight="1" s="93">
      <c r="A488" s="90" t="n"/>
      <c r="C488" s="85" t="n"/>
    </row>
    <row r="489" ht="11.25" customHeight="1" s="93">
      <c r="A489" s="90" t="n"/>
      <c r="C489" s="85" t="n"/>
    </row>
    <row r="490" ht="11.25" customHeight="1" s="93">
      <c r="A490" s="90" t="n"/>
      <c r="C490" s="85" t="n"/>
    </row>
    <row r="491" ht="11.25" customHeight="1" s="93">
      <c r="A491" s="90" t="n"/>
      <c r="C491" s="85" t="n"/>
    </row>
    <row r="492" ht="11.25" customHeight="1" s="93">
      <c r="A492" s="90" t="n"/>
      <c r="C492" s="85" t="n"/>
    </row>
    <row r="493" ht="11.25" customHeight="1" s="93">
      <c r="A493" s="90" t="n"/>
      <c r="C493" s="85" t="n"/>
    </row>
    <row r="494" ht="11.25" customHeight="1" s="93">
      <c r="A494" s="90" t="n"/>
      <c r="C494" s="85" t="n"/>
    </row>
    <row r="495" ht="11.25" customHeight="1" s="93">
      <c r="A495" s="90" t="n"/>
      <c r="C495" s="85" t="n"/>
    </row>
    <row r="496" ht="11.25" customHeight="1" s="93">
      <c r="A496" s="90" t="n"/>
      <c r="C496" s="85" t="n"/>
    </row>
    <row r="497" ht="11.25" customHeight="1" s="93">
      <c r="A497" s="90" t="n"/>
      <c r="C497" s="85" t="n"/>
    </row>
    <row r="498" ht="11.25" customHeight="1" s="93">
      <c r="A498" s="90" t="n"/>
      <c r="C498" s="85" t="n"/>
    </row>
    <row r="499" ht="11.25" customHeight="1" s="93">
      <c r="A499" s="90" t="n"/>
      <c r="C499" s="85" t="n"/>
    </row>
    <row r="500" ht="11.25" customHeight="1" s="93">
      <c r="A500" s="90" t="n"/>
      <c r="C500" s="85" t="n"/>
    </row>
    <row r="501" ht="11.25" customHeight="1" s="93">
      <c r="A501" s="90" t="n"/>
      <c r="C501" s="85" t="n"/>
    </row>
    <row r="502" ht="11.25" customHeight="1" s="93">
      <c r="A502" s="90" t="n"/>
      <c r="C502" s="85" t="n"/>
    </row>
    <row r="503" ht="11.25" customHeight="1" s="93">
      <c r="A503" s="90" t="n"/>
      <c r="C503" s="85" t="n"/>
    </row>
    <row r="504" ht="11.25" customHeight="1" s="93">
      <c r="A504" s="90" t="n"/>
      <c r="C504" s="85" t="n"/>
    </row>
    <row r="505" ht="11.25" customHeight="1" s="93">
      <c r="A505" s="90" t="n"/>
      <c r="C505" s="85" t="n"/>
    </row>
    <row r="506" ht="11.25" customHeight="1" s="93">
      <c r="A506" s="90" t="n"/>
      <c r="C506" s="85" t="n"/>
    </row>
    <row r="507" ht="11.25" customHeight="1" s="93">
      <c r="A507" s="90" t="n"/>
      <c r="C507" s="85" t="n"/>
    </row>
    <row r="508" ht="11.25" customHeight="1" s="93">
      <c r="A508" s="90" t="n"/>
      <c r="C508" s="85" t="n"/>
    </row>
    <row r="509" ht="11.25" customHeight="1" s="93">
      <c r="A509" s="90" t="n"/>
      <c r="C509" s="85" t="n"/>
    </row>
    <row r="510" ht="11.25" customHeight="1" s="93">
      <c r="A510" s="90" t="n"/>
      <c r="C510" s="85" t="n"/>
    </row>
    <row r="511" ht="11.25" customHeight="1" s="93">
      <c r="A511" s="90" t="n"/>
      <c r="C511" s="85" t="n"/>
    </row>
    <row r="512" ht="11.25" customHeight="1" s="93">
      <c r="A512" s="90" t="n"/>
      <c r="C512" s="85" t="n"/>
    </row>
    <row r="513" ht="11.25" customHeight="1" s="93">
      <c r="A513" s="90" t="n"/>
      <c r="C513" s="85" t="n"/>
    </row>
    <row r="514" ht="11.25" customHeight="1" s="93">
      <c r="A514" s="90" t="n"/>
      <c r="C514" s="85" t="n"/>
    </row>
    <row r="515" ht="11.25" customHeight="1" s="93">
      <c r="A515" s="90" t="n"/>
      <c r="C515" s="85" t="n"/>
    </row>
    <row r="516" ht="11.25" customHeight="1" s="93">
      <c r="A516" s="90" t="n"/>
      <c r="C516" s="85" t="n"/>
    </row>
    <row r="517" ht="11.25" customHeight="1" s="93">
      <c r="A517" s="90" t="n"/>
      <c r="C517" s="85" t="n"/>
    </row>
    <row r="518" ht="11.25" customHeight="1" s="93">
      <c r="A518" s="90" t="n"/>
      <c r="C518" s="85" t="n"/>
    </row>
    <row r="519" ht="11.25" customHeight="1" s="93">
      <c r="A519" s="90" t="n"/>
      <c r="C519" s="85" t="n"/>
    </row>
    <row r="520" ht="11.25" customHeight="1" s="93">
      <c r="A520" s="90" t="n"/>
      <c r="C520" s="85" t="n"/>
    </row>
    <row r="521" ht="11.25" customHeight="1" s="93">
      <c r="A521" s="90" t="n"/>
      <c r="C521" s="85" t="n"/>
    </row>
    <row r="522" ht="11.25" customHeight="1" s="93">
      <c r="A522" s="90" t="n"/>
      <c r="C522" s="85" t="n"/>
    </row>
    <row r="523" ht="11.25" customHeight="1" s="93">
      <c r="A523" s="90" t="n"/>
      <c r="C523" s="85" t="n"/>
    </row>
    <row r="524" ht="11.25" customHeight="1" s="93">
      <c r="A524" s="90" t="n"/>
      <c r="C524" s="85" t="n"/>
    </row>
    <row r="525" ht="11.25" customHeight="1" s="93">
      <c r="A525" s="90" t="n"/>
      <c r="C525" s="85" t="n"/>
    </row>
    <row r="526" ht="11.25" customHeight="1" s="93">
      <c r="A526" s="90" t="n"/>
      <c r="C526" s="85" t="n"/>
    </row>
    <row r="527" ht="11.25" customHeight="1" s="93">
      <c r="A527" s="90" t="n"/>
      <c r="C527" s="85" t="n"/>
    </row>
    <row r="528" ht="11.25" customHeight="1" s="93">
      <c r="A528" s="90" t="n"/>
      <c r="C528" s="85" t="n"/>
    </row>
    <row r="529" ht="11.25" customHeight="1" s="93">
      <c r="A529" s="90" t="n"/>
      <c r="C529" s="85" t="n"/>
    </row>
    <row r="530" ht="11.25" customHeight="1" s="93">
      <c r="A530" s="90" t="n"/>
      <c r="C530" s="85" t="n"/>
    </row>
    <row r="531" ht="11.25" customHeight="1" s="93">
      <c r="A531" s="90" t="n"/>
      <c r="C531" s="85" t="n"/>
    </row>
    <row r="532" ht="11.25" customHeight="1" s="93">
      <c r="A532" s="90" t="n"/>
      <c r="C532" s="85" t="n"/>
    </row>
    <row r="533" ht="11.25" customHeight="1" s="93">
      <c r="A533" s="90" t="n"/>
      <c r="C533" s="85" t="n"/>
    </row>
    <row r="534" ht="11.25" customHeight="1" s="93">
      <c r="A534" s="90" t="n"/>
      <c r="C534" s="85" t="n"/>
    </row>
    <row r="535" ht="11.25" customHeight="1" s="93">
      <c r="A535" s="90" t="n"/>
      <c r="C535" s="85" t="n"/>
    </row>
    <row r="536" ht="11.25" customHeight="1" s="93">
      <c r="A536" s="90" t="n"/>
      <c r="C536" s="85" t="n"/>
    </row>
    <row r="537" ht="11.25" customHeight="1" s="93">
      <c r="A537" s="90" t="n"/>
      <c r="C537" s="85" t="n"/>
    </row>
    <row r="538" ht="11.25" customHeight="1" s="93">
      <c r="A538" s="90" t="n"/>
      <c r="C538" s="85" t="n"/>
    </row>
    <row r="539" ht="11.25" customHeight="1" s="93">
      <c r="A539" s="90" t="n"/>
      <c r="C539" s="85" t="n"/>
    </row>
    <row r="540" ht="11.25" customHeight="1" s="93">
      <c r="A540" s="90" t="n"/>
      <c r="C540" s="85" t="n"/>
    </row>
    <row r="541" ht="11.25" customHeight="1" s="93">
      <c r="A541" s="90" t="n"/>
      <c r="C541" s="85" t="n"/>
    </row>
    <row r="542" ht="11.25" customHeight="1" s="93">
      <c r="A542" s="90" t="n"/>
      <c r="C542" s="85" t="n"/>
    </row>
    <row r="543" ht="11.25" customHeight="1" s="93">
      <c r="A543" s="90" t="n"/>
      <c r="C543" s="85" t="n"/>
    </row>
    <row r="544" ht="11.25" customHeight="1" s="93">
      <c r="A544" s="90" t="n"/>
      <c r="C544" s="85" t="n"/>
    </row>
    <row r="545" ht="11.25" customHeight="1" s="93">
      <c r="A545" s="90" t="n"/>
      <c r="C545" s="85" t="n"/>
    </row>
    <row r="546" ht="11.25" customHeight="1" s="93">
      <c r="A546" s="90" t="n"/>
      <c r="C546" s="85" t="n"/>
    </row>
    <row r="547" ht="11.25" customHeight="1" s="93">
      <c r="A547" s="90" t="n"/>
      <c r="C547" s="85" t="n"/>
    </row>
    <row r="548" ht="11.25" customHeight="1" s="93">
      <c r="A548" s="90" t="n"/>
      <c r="C548" s="85" t="n"/>
    </row>
    <row r="549" ht="11.25" customHeight="1" s="93">
      <c r="A549" s="90" t="n"/>
      <c r="C549" s="85" t="n"/>
    </row>
    <row r="550" ht="11.25" customHeight="1" s="93">
      <c r="A550" s="90" t="n"/>
      <c r="C550" s="85" t="n"/>
    </row>
    <row r="551" ht="11.25" customHeight="1" s="93">
      <c r="A551" s="90" t="n"/>
      <c r="C551" s="85" t="n"/>
    </row>
    <row r="552" ht="11.25" customHeight="1" s="93">
      <c r="A552" s="90" t="n"/>
      <c r="C552" s="85" t="n"/>
    </row>
    <row r="553" ht="11.25" customHeight="1" s="93">
      <c r="A553" s="90" t="n"/>
      <c r="C553" s="85" t="n"/>
    </row>
    <row r="554" ht="11.25" customHeight="1" s="93">
      <c r="A554" s="90" t="n"/>
      <c r="C554" s="85" t="n"/>
    </row>
    <row r="555" ht="11.25" customHeight="1" s="93">
      <c r="A555" s="90" t="n"/>
      <c r="C555" s="85" t="n"/>
    </row>
    <row r="556" ht="11.25" customHeight="1" s="93">
      <c r="A556" s="90" t="n"/>
      <c r="C556" s="85" t="n"/>
    </row>
    <row r="557" ht="11.25" customHeight="1" s="93">
      <c r="A557" s="90" t="n"/>
      <c r="C557" s="85" t="n"/>
    </row>
    <row r="558" ht="11.25" customHeight="1" s="93">
      <c r="A558" s="90" t="n"/>
      <c r="C558" s="85" t="n"/>
    </row>
    <row r="559" ht="11.25" customHeight="1" s="93">
      <c r="A559" s="90" t="n"/>
      <c r="C559" s="85" t="n"/>
    </row>
    <row r="560" ht="11.25" customHeight="1" s="93">
      <c r="A560" s="90" t="n"/>
      <c r="C560" s="85" t="n"/>
    </row>
    <row r="561" ht="11.25" customHeight="1" s="93">
      <c r="A561" s="90" t="n"/>
      <c r="C561" s="85" t="n"/>
    </row>
    <row r="562" ht="11.25" customHeight="1" s="93">
      <c r="A562" s="90" t="n"/>
      <c r="C562" s="85" t="n"/>
    </row>
    <row r="563" ht="11.25" customHeight="1" s="93">
      <c r="A563" s="90" t="n"/>
      <c r="C563" s="85" t="n"/>
    </row>
    <row r="564" ht="11.25" customHeight="1" s="93">
      <c r="A564" s="90" t="n"/>
      <c r="C564" s="85" t="n"/>
    </row>
    <row r="565" ht="11.25" customHeight="1" s="93">
      <c r="A565" s="90" t="n"/>
      <c r="C565" s="85" t="n"/>
    </row>
    <row r="566" ht="11.25" customHeight="1" s="93">
      <c r="A566" s="90" t="n"/>
      <c r="C566" s="85" t="n"/>
    </row>
    <row r="567" ht="11.25" customHeight="1" s="93">
      <c r="A567" s="90" t="n"/>
      <c r="C567" s="85" t="n"/>
    </row>
    <row r="568" ht="11.25" customHeight="1" s="93">
      <c r="A568" s="90" t="n"/>
      <c r="C568" s="85" t="n"/>
    </row>
    <row r="569" ht="11.25" customHeight="1" s="93">
      <c r="A569" s="90" t="n"/>
      <c r="C569" s="85" t="n"/>
    </row>
    <row r="570" ht="11.25" customHeight="1" s="93">
      <c r="A570" s="90" t="n"/>
      <c r="C570" s="85" t="n"/>
    </row>
    <row r="571" ht="11.25" customHeight="1" s="93">
      <c r="A571" s="90" t="n"/>
      <c r="C571" s="85" t="n"/>
    </row>
    <row r="572" ht="11.25" customHeight="1" s="93">
      <c r="A572" s="90" t="n"/>
      <c r="C572" s="85" t="n"/>
    </row>
    <row r="573" ht="11.25" customHeight="1" s="93">
      <c r="A573" s="90" t="n"/>
      <c r="C573" s="85" t="n"/>
    </row>
    <row r="574" ht="11.25" customHeight="1" s="93">
      <c r="A574" s="90" t="n"/>
      <c r="C574" s="85" t="n"/>
    </row>
    <row r="575" ht="11.25" customHeight="1" s="93">
      <c r="A575" s="90" t="n"/>
      <c r="C575" s="85" t="n"/>
    </row>
    <row r="576" ht="11.25" customHeight="1" s="93">
      <c r="A576" s="90" t="n"/>
      <c r="C576" s="85" t="n"/>
    </row>
    <row r="577" ht="11.25" customHeight="1" s="93">
      <c r="A577" s="90" t="n"/>
      <c r="C577" s="85" t="n"/>
    </row>
    <row r="578" ht="11.25" customHeight="1" s="93">
      <c r="A578" s="90" t="n"/>
      <c r="C578" s="85" t="n"/>
    </row>
    <row r="579" ht="11.25" customHeight="1" s="93">
      <c r="A579" s="90" t="n"/>
      <c r="C579" s="85" t="n"/>
    </row>
    <row r="580" ht="11.25" customHeight="1" s="93">
      <c r="A580" s="90" t="n"/>
      <c r="C580" s="85" t="n"/>
    </row>
    <row r="581" ht="11.25" customHeight="1" s="93">
      <c r="A581" s="90" t="n"/>
      <c r="C581" s="85" t="n"/>
    </row>
    <row r="582" ht="11.25" customHeight="1" s="93">
      <c r="A582" s="90" t="n"/>
      <c r="C582" s="85" t="n"/>
    </row>
    <row r="583" ht="11.25" customHeight="1" s="93">
      <c r="A583" s="90" t="n"/>
      <c r="C583" s="85" t="n"/>
    </row>
    <row r="584" ht="11.25" customHeight="1" s="93">
      <c r="A584" s="90" t="n"/>
      <c r="C584" s="85" t="n"/>
    </row>
    <row r="585" ht="11.25" customHeight="1" s="93">
      <c r="A585" s="90" t="n"/>
      <c r="C585" s="85" t="n"/>
    </row>
    <row r="586" ht="11.25" customHeight="1" s="93">
      <c r="A586" s="90" t="n"/>
      <c r="C586" s="85" t="n"/>
    </row>
    <row r="587" ht="11.25" customHeight="1" s="93">
      <c r="A587" s="90" t="n"/>
      <c r="C587" s="85" t="n"/>
    </row>
    <row r="588" ht="11.25" customHeight="1" s="93">
      <c r="A588" s="90" t="n"/>
      <c r="C588" s="85" t="n"/>
    </row>
    <row r="589" ht="11.25" customHeight="1" s="93">
      <c r="A589" s="90" t="n"/>
      <c r="C589" s="85" t="n"/>
    </row>
    <row r="590" ht="11.25" customHeight="1" s="93">
      <c r="A590" s="90" t="n"/>
      <c r="C590" s="85" t="n"/>
    </row>
    <row r="591" ht="11.25" customHeight="1" s="93">
      <c r="A591" s="90" t="n"/>
      <c r="C591" s="85" t="n"/>
    </row>
    <row r="592" ht="11.25" customHeight="1" s="93">
      <c r="A592" s="90" t="n"/>
      <c r="C592" s="85" t="n"/>
    </row>
    <row r="593" ht="11.25" customHeight="1" s="93">
      <c r="A593" s="90" t="n"/>
      <c r="C593" s="85" t="n"/>
    </row>
    <row r="594" ht="11.25" customHeight="1" s="93">
      <c r="A594" s="90" t="n"/>
      <c r="C594" s="85" t="n"/>
    </row>
    <row r="595" ht="11.25" customHeight="1" s="93">
      <c r="A595" s="90" t="n"/>
      <c r="C595" s="85" t="n"/>
    </row>
    <row r="596" ht="11.25" customHeight="1" s="93">
      <c r="A596" s="90" t="n"/>
      <c r="C596" s="85" t="n"/>
    </row>
    <row r="597" ht="11.25" customHeight="1" s="93">
      <c r="A597" s="90" t="n"/>
      <c r="C597" s="85" t="n"/>
    </row>
    <row r="598" ht="11.25" customHeight="1" s="93">
      <c r="A598" s="90" t="n"/>
      <c r="C598" s="85" t="n"/>
    </row>
    <row r="599" ht="11.25" customHeight="1" s="93">
      <c r="A599" s="90" t="n"/>
      <c r="C599" s="85" t="n"/>
    </row>
    <row r="600" ht="11.25" customHeight="1" s="93">
      <c r="A600" s="90" t="n"/>
      <c r="C600" s="85" t="n"/>
    </row>
    <row r="601" ht="11.25" customHeight="1" s="93">
      <c r="A601" s="90" t="n"/>
      <c r="C601" s="85" t="n"/>
    </row>
    <row r="602" ht="11.25" customHeight="1" s="93">
      <c r="A602" s="90" t="n"/>
      <c r="C602" s="85" t="n"/>
    </row>
    <row r="603" ht="11.25" customHeight="1" s="93">
      <c r="A603" s="90" t="n"/>
      <c r="C603" s="85" t="n"/>
    </row>
    <row r="604" ht="11.25" customHeight="1" s="93">
      <c r="A604" s="90" t="n"/>
      <c r="C604" s="85" t="n"/>
    </row>
    <row r="605" ht="11.25" customHeight="1" s="93">
      <c r="A605" s="90" t="n"/>
      <c r="C605" s="85" t="n"/>
    </row>
    <row r="606" ht="11.25" customHeight="1" s="93">
      <c r="A606" s="90" t="n"/>
      <c r="C606" s="85" t="n"/>
    </row>
    <row r="607" ht="11.25" customHeight="1" s="93">
      <c r="A607" s="90" t="n"/>
      <c r="C607" s="85" t="n"/>
    </row>
    <row r="608" ht="11.25" customHeight="1" s="93">
      <c r="A608" s="90" t="n"/>
      <c r="C608" s="85" t="n"/>
    </row>
    <row r="609" ht="11.25" customHeight="1" s="93">
      <c r="A609" s="90" t="n"/>
      <c r="C609" s="85" t="n"/>
    </row>
    <row r="610" ht="11.25" customHeight="1" s="93">
      <c r="A610" s="90" t="n"/>
      <c r="C610" s="85" t="n"/>
    </row>
    <row r="611" ht="11.25" customHeight="1" s="93">
      <c r="A611" s="90" t="n"/>
      <c r="C611" s="85" t="n"/>
    </row>
    <row r="612" ht="11.25" customHeight="1" s="93">
      <c r="A612" s="90" t="n"/>
      <c r="C612" s="85" t="n"/>
    </row>
    <row r="613" ht="11.25" customHeight="1" s="93">
      <c r="A613" s="90" t="n"/>
      <c r="C613" s="85" t="n"/>
    </row>
    <row r="614" ht="11.25" customHeight="1" s="93">
      <c r="A614" s="90" t="n"/>
      <c r="C614" s="85" t="n"/>
    </row>
    <row r="615" ht="11.25" customHeight="1" s="93">
      <c r="A615" s="90" t="n"/>
      <c r="C615" s="85" t="n"/>
    </row>
    <row r="616" ht="11.25" customHeight="1" s="93">
      <c r="A616" s="90" t="n"/>
      <c r="C616" s="85" t="n"/>
    </row>
    <row r="617" ht="11.25" customHeight="1" s="93">
      <c r="A617" s="90" t="n"/>
      <c r="C617" s="85" t="n"/>
    </row>
    <row r="618" ht="11.25" customHeight="1" s="93">
      <c r="A618" s="90" t="n"/>
      <c r="C618" s="85" t="n"/>
    </row>
    <row r="619" ht="11.25" customHeight="1" s="93">
      <c r="A619" s="90" t="n"/>
      <c r="C619" s="85" t="n"/>
    </row>
    <row r="620" ht="11.25" customHeight="1" s="93">
      <c r="A620" s="90" t="n"/>
      <c r="C620" s="85" t="n"/>
    </row>
    <row r="621" ht="11.25" customHeight="1" s="93">
      <c r="A621" s="90" t="n"/>
      <c r="C621" s="85" t="n"/>
    </row>
    <row r="622" ht="11.25" customHeight="1" s="93">
      <c r="A622" s="90" t="n"/>
      <c r="C622" s="85" t="n"/>
    </row>
    <row r="623" ht="11.25" customHeight="1" s="93">
      <c r="A623" s="90" t="n"/>
      <c r="C623" s="85" t="n"/>
    </row>
    <row r="624" ht="11.25" customHeight="1" s="93">
      <c r="A624" s="90" t="n"/>
      <c r="C624" s="85" t="n"/>
    </row>
    <row r="625" ht="11.25" customHeight="1" s="93">
      <c r="A625" s="90" t="n"/>
      <c r="C625" s="85" t="n"/>
    </row>
    <row r="626" ht="11.25" customHeight="1" s="93">
      <c r="A626" s="90" t="n"/>
      <c r="C626" s="85" t="n"/>
    </row>
    <row r="627" ht="11.25" customHeight="1" s="93">
      <c r="A627" s="90" t="n"/>
      <c r="C627" s="85" t="n"/>
    </row>
    <row r="628" ht="11.25" customHeight="1" s="93">
      <c r="A628" s="90" t="n"/>
      <c r="C628" s="85" t="n"/>
    </row>
    <row r="629" ht="11.25" customHeight="1" s="93">
      <c r="A629" s="90" t="n"/>
      <c r="C629" s="85" t="n"/>
    </row>
    <row r="630" ht="11.25" customHeight="1" s="93">
      <c r="A630" s="90" t="n"/>
      <c r="C630" s="85" t="n"/>
    </row>
    <row r="631" ht="11.25" customHeight="1" s="93">
      <c r="A631" s="90" t="n"/>
      <c r="C631" s="85" t="n"/>
    </row>
    <row r="632" ht="11.25" customHeight="1" s="93">
      <c r="A632" s="90" t="n"/>
      <c r="C632" s="85" t="n"/>
    </row>
    <row r="633" ht="11.25" customHeight="1" s="93">
      <c r="A633" s="90" t="n"/>
      <c r="C633" s="85" t="n"/>
    </row>
    <row r="634" ht="11.25" customHeight="1" s="93">
      <c r="A634" s="90" t="n"/>
      <c r="C634" s="85" t="n"/>
    </row>
    <row r="635" ht="11.25" customHeight="1" s="93">
      <c r="A635" s="90" t="n"/>
      <c r="C635" s="85" t="n"/>
    </row>
    <row r="636" ht="11.25" customHeight="1" s="93">
      <c r="A636" s="90" t="n"/>
      <c r="C636" s="85" t="n"/>
    </row>
    <row r="637" ht="11.25" customHeight="1" s="93">
      <c r="A637" s="90" t="n"/>
      <c r="C637" s="85" t="n"/>
    </row>
    <row r="638" ht="11.25" customHeight="1" s="93">
      <c r="A638" s="90" t="n"/>
      <c r="C638" s="85" t="n"/>
    </row>
    <row r="639" ht="11.25" customHeight="1" s="93">
      <c r="A639" s="90" t="n"/>
      <c r="C639" s="85" t="n"/>
    </row>
    <row r="640" ht="11.25" customHeight="1" s="93">
      <c r="A640" s="90" t="n"/>
      <c r="C640" s="85" t="n"/>
    </row>
    <row r="641" ht="11.25" customHeight="1" s="93">
      <c r="A641" s="90" t="n"/>
      <c r="C641" s="85" t="n"/>
    </row>
    <row r="642" ht="11.25" customHeight="1" s="93">
      <c r="A642" s="90" t="n"/>
      <c r="C642" s="85" t="n"/>
    </row>
    <row r="643" ht="11.25" customHeight="1" s="93">
      <c r="A643" s="90" t="n"/>
      <c r="C643" s="85" t="n"/>
    </row>
    <row r="644" ht="11.25" customHeight="1" s="93">
      <c r="A644" s="90" t="n"/>
      <c r="C644" s="85" t="n"/>
    </row>
    <row r="645" ht="11.25" customHeight="1" s="93">
      <c r="A645" s="90" t="n"/>
      <c r="C645" s="85" t="n"/>
    </row>
    <row r="646" ht="11.25" customHeight="1" s="93">
      <c r="A646" s="90" t="n"/>
      <c r="C646" s="85" t="n"/>
    </row>
    <row r="647" ht="11.25" customHeight="1" s="93">
      <c r="A647" s="90" t="n"/>
      <c r="C647" s="85" t="n"/>
    </row>
    <row r="648" ht="11.25" customHeight="1" s="93">
      <c r="A648" s="90" t="n"/>
      <c r="C648" s="85" t="n"/>
    </row>
    <row r="649" ht="11.25" customHeight="1" s="93">
      <c r="A649" s="90" t="n"/>
      <c r="C649" s="85" t="n"/>
    </row>
    <row r="650" ht="11.25" customHeight="1" s="93">
      <c r="A650" s="90" t="n"/>
      <c r="C650" s="85" t="n"/>
    </row>
    <row r="651" ht="11.25" customHeight="1" s="93">
      <c r="A651" s="90" t="n"/>
      <c r="C651" s="85" t="n"/>
    </row>
    <row r="652" ht="11.25" customHeight="1" s="93">
      <c r="A652" s="90" t="n"/>
      <c r="C652" s="85" t="n"/>
    </row>
    <row r="653" ht="11.25" customHeight="1" s="93">
      <c r="A653" s="90" t="n"/>
      <c r="C653" s="85" t="n"/>
    </row>
    <row r="654" ht="11.25" customHeight="1" s="93">
      <c r="A654" s="90" t="n"/>
      <c r="C654" s="85" t="n"/>
    </row>
    <row r="655" ht="11.25" customHeight="1" s="93">
      <c r="A655" s="90" t="n"/>
      <c r="C655" s="85" t="n"/>
    </row>
    <row r="656" ht="11.25" customHeight="1" s="93">
      <c r="A656" s="90" t="n"/>
      <c r="C656" s="85" t="n"/>
    </row>
    <row r="657" ht="11.25" customHeight="1" s="93">
      <c r="A657" s="90" t="n"/>
      <c r="C657" s="85" t="n"/>
    </row>
    <row r="658" ht="11.25" customHeight="1" s="93">
      <c r="A658" s="90" t="n"/>
      <c r="C658" s="85" t="n"/>
    </row>
    <row r="659" ht="11.25" customHeight="1" s="93">
      <c r="A659" s="90" t="n"/>
      <c r="C659" s="85" t="n"/>
    </row>
    <row r="660" ht="11.25" customHeight="1" s="93">
      <c r="A660" s="90" t="n"/>
      <c r="C660" s="85" t="n"/>
    </row>
    <row r="661" ht="11.25" customHeight="1" s="93">
      <c r="A661" s="90" t="n"/>
      <c r="C661" s="85" t="n"/>
    </row>
    <row r="662" ht="11.25" customHeight="1" s="93">
      <c r="A662" s="90" t="n"/>
      <c r="C662" s="85" t="n"/>
    </row>
    <row r="663" ht="11.25" customHeight="1" s="93">
      <c r="A663" s="90" t="n"/>
      <c r="C663" s="85" t="n"/>
    </row>
    <row r="664" ht="11.25" customHeight="1" s="93">
      <c r="A664" s="90" t="n"/>
      <c r="C664" s="85" t="n"/>
    </row>
    <row r="665" ht="11.25" customHeight="1" s="93">
      <c r="A665" s="90" t="n"/>
      <c r="C665" s="85" t="n"/>
    </row>
    <row r="666" ht="11.25" customHeight="1" s="93">
      <c r="A666" s="90" t="n"/>
      <c r="C666" s="85" t="n"/>
    </row>
    <row r="667" ht="11.25" customHeight="1" s="93">
      <c r="A667" s="90" t="n"/>
      <c r="C667" s="85" t="n"/>
    </row>
    <row r="668" ht="11.25" customHeight="1" s="93">
      <c r="A668" s="90" t="n"/>
      <c r="C668" s="85" t="n"/>
    </row>
    <row r="669" ht="11.25" customHeight="1" s="93">
      <c r="A669" s="90" t="n"/>
      <c r="C669" s="85" t="n"/>
    </row>
    <row r="670" ht="11.25" customHeight="1" s="93">
      <c r="A670" s="90" t="n"/>
      <c r="C670" s="85" t="n"/>
    </row>
    <row r="671" ht="11.25" customHeight="1" s="93">
      <c r="A671" s="90" t="n"/>
      <c r="C671" s="85" t="n"/>
    </row>
    <row r="672" ht="11.25" customHeight="1" s="93">
      <c r="A672" s="90" t="n"/>
      <c r="C672" s="85" t="n"/>
    </row>
    <row r="673" ht="11.25" customHeight="1" s="93">
      <c r="A673" s="90" t="n"/>
      <c r="C673" s="85" t="n"/>
    </row>
    <row r="674" ht="11.25" customHeight="1" s="93">
      <c r="A674" s="90" t="n"/>
      <c r="C674" s="85" t="n"/>
    </row>
    <row r="675" ht="11.25" customHeight="1" s="93">
      <c r="A675" s="90" t="n"/>
      <c r="C675" s="85" t="n"/>
    </row>
    <row r="676" ht="11.25" customHeight="1" s="93">
      <c r="A676" s="90" t="n"/>
      <c r="C676" s="85" t="n"/>
    </row>
    <row r="677" ht="11.25" customHeight="1" s="93">
      <c r="A677" s="90" t="n"/>
      <c r="C677" s="85" t="n"/>
    </row>
    <row r="678" ht="11.25" customHeight="1" s="93">
      <c r="A678" s="90" t="n"/>
      <c r="C678" s="85" t="n"/>
    </row>
    <row r="679" ht="11.25" customHeight="1" s="93">
      <c r="A679" s="90" t="n"/>
      <c r="C679" s="85" t="n"/>
    </row>
    <row r="680" ht="11.25" customHeight="1" s="93">
      <c r="A680" s="90" t="n"/>
      <c r="C680" s="85" t="n"/>
    </row>
    <row r="681" ht="11.25" customHeight="1" s="93">
      <c r="A681" s="90" t="n"/>
      <c r="C681" s="85" t="n"/>
    </row>
    <row r="682" ht="11.25" customHeight="1" s="93">
      <c r="A682" s="90" t="n"/>
      <c r="C682" s="85" t="n"/>
    </row>
    <row r="683" ht="11.25" customHeight="1" s="93">
      <c r="A683" s="90" t="n"/>
      <c r="C683" s="85" t="n"/>
    </row>
    <row r="684" ht="11.25" customHeight="1" s="93">
      <c r="A684" s="90" t="n"/>
      <c r="C684" s="85" t="n"/>
    </row>
    <row r="685" ht="11.25" customHeight="1" s="93">
      <c r="A685" s="90" t="n"/>
      <c r="C685" s="85" t="n"/>
    </row>
    <row r="686" ht="11.25" customHeight="1" s="93">
      <c r="A686" s="90" t="n"/>
      <c r="C686" s="85" t="n"/>
    </row>
    <row r="687" ht="11.25" customHeight="1" s="93">
      <c r="A687" s="90" t="n"/>
      <c r="C687" s="85" t="n"/>
    </row>
    <row r="688" ht="11.25" customHeight="1" s="93">
      <c r="A688" s="90" t="n"/>
      <c r="C688" s="85" t="n"/>
    </row>
    <row r="689" ht="11.25" customHeight="1" s="93">
      <c r="A689" s="90" t="n"/>
      <c r="C689" s="85" t="n"/>
    </row>
    <row r="690" ht="11.25" customHeight="1" s="93">
      <c r="A690" s="90" t="n"/>
      <c r="C690" s="85" t="n"/>
    </row>
    <row r="691" ht="11.25" customHeight="1" s="93">
      <c r="A691" s="90" t="n"/>
      <c r="C691" s="85" t="n"/>
    </row>
    <row r="692" ht="11.25" customHeight="1" s="93">
      <c r="A692" s="90" t="n"/>
      <c r="C692" s="85" t="n"/>
    </row>
    <row r="693" ht="11.25" customHeight="1" s="93">
      <c r="A693" s="90" t="n"/>
      <c r="C693" s="85" t="n"/>
    </row>
    <row r="694" ht="11.25" customHeight="1" s="93">
      <c r="A694" s="90" t="n"/>
      <c r="C694" s="85" t="n"/>
    </row>
    <row r="695" ht="11.25" customHeight="1" s="93">
      <c r="A695" s="90" t="n"/>
      <c r="C695" s="85" t="n"/>
    </row>
    <row r="696" ht="11.25" customHeight="1" s="93">
      <c r="A696" s="90" t="n"/>
      <c r="C696" s="85" t="n"/>
    </row>
    <row r="697" ht="11.25" customHeight="1" s="93">
      <c r="A697" s="90" t="n"/>
      <c r="C697" s="85" t="n"/>
    </row>
    <row r="698" ht="11.25" customHeight="1" s="93">
      <c r="A698" s="90" t="n"/>
      <c r="C698" s="85" t="n"/>
    </row>
    <row r="699" ht="11.25" customHeight="1" s="93">
      <c r="A699" s="90" t="n"/>
      <c r="C699" s="85" t="n"/>
    </row>
    <row r="700" ht="11.25" customHeight="1" s="93">
      <c r="A700" s="90" t="n"/>
      <c r="C700" s="85" t="n"/>
    </row>
    <row r="701" ht="11.25" customHeight="1" s="93">
      <c r="A701" s="90" t="n"/>
      <c r="C701" s="85" t="n"/>
    </row>
    <row r="702" ht="11.25" customHeight="1" s="93">
      <c r="A702" s="90" t="n"/>
      <c r="C702" s="85" t="n"/>
    </row>
    <row r="703" ht="11.25" customHeight="1" s="93">
      <c r="A703" s="90" t="n"/>
      <c r="C703" s="85" t="n"/>
    </row>
    <row r="704" ht="11.25" customHeight="1" s="93">
      <c r="A704" s="90" t="n"/>
      <c r="C704" s="85" t="n"/>
    </row>
    <row r="705" ht="11.25" customHeight="1" s="93">
      <c r="A705" s="90" t="n"/>
      <c r="C705" s="85" t="n"/>
    </row>
    <row r="706" ht="11.25" customHeight="1" s="93">
      <c r="A706" s="90" t="n"/>
      <c r="C706" s="85" t="n"/>
    </row>
    <row r="707" ht="11.25" customHeight="1" s="93">
      <c r="A707" s="90" t="n"/>
      <c r="C707" s="85" t="n"/>
    </row>
    <row r="708" ht="11.25" customHeight="1" s="93">
      <c r="A708" s="90" t="n"/>
      <c r="C708" s="85" t="n"/>
    </row>
    <row r="709" ht="11.25" customHeight="1" s="93">
      <c r="A709" s="90" t="n"/>
      <c r="C709" s="85" t="n"/>
    </row>
    <row r="710" ht="11.25" customHeight="1" s="93">
      <c r="A710" s="90" t="n"/>
      <c r="C710" s="85" t="n"/>
    </row>
    <row r="711" ht="11.25" customHeight="1" s="93">
      <c r="A711" s="90" t="n"/>
      <c r="C711" s="85" t="n"/>
    </row>
    <row r="712" ht="11.25" customHeight="1" s="93">
      <c r="A712" s="90" t="n"/>
      <c r="C712" s="85" t="n"/>
    </row>
    <row r="713" ht="11.25" customHeight="1" s="93">
      <c r="A713" s="90" t="n"/>
      <c r="C713" s="85" t="n"/>
    </row>
    <row r="714" ht="11.25" customHeight="1" s="93">
      <c r="A714" s="90" t="n"/>
      <c r="C714" s="85" t="n"/>
    </row>
    <row r="715" ht="11.25" customHeight="1" s="93">
      <c r="A715" s="90" t="n"/>
      <c r="C715" s="85" t="n"/>
    </row>
    <row r="716" ht="11.25" customHeight="1" s="93">
      <c r="A716" s="90" t="n"/>
      <c r="C716" s="85" t="n"/>
    </row>
    <row r="717" ht="11.25" customHeight="1" s="93">
      <c r="A717" s="90" t="n"/>
      <c r="C717" s="85" t="n"/>
    </row>
    <row r="718" ht="11.25" customHeight="1" s="93">
      <c r="A718" s="90" t="n"/>
      <c r="C718" s="85" t="n"/>
    </row>
    <row r="719" ht="11.25" customHeight="1" s="93">
      <c r="A719" s="90" t="n"/>
      <c r="C719" s="85" t="n"/>
    </row>
    <row r="720" ht="11.25" customHeight="1" s="93">
      <c r="A720" s="90" t="n"/>
      <c r="C720" s="85" t="n"/>
    </row>
    <row r="721" ht="11.25" customHeight="1" s="93">
      <c r="A721" s="90" t="n"/>
      <c r="C721" s="85" t="n"/>
    </row>
    <row r="722" ht="11.25" customHeight="1" s="93">
      <c r="A722" s="90" t="n"/>
      <c r="C722" s="85" t="n"/>
    </row>
    <row r="723" ht="11.25" customHeight="1" s="93">
      <c r="A723" s="90" t="n"/>
      <c r="C723" s="85" t="n"/>
    </row>
    <row r="724" ht="11.25" customHeight="1" s="93">
      <c r="A724" s="90" t="n"/>
      <c r="C724" s="85" t="n"/>
    </row>
    <row r="725" ht="11.25" customHeight="1" s="93">
      <c r="A725" s="90" t="n"/>
      <c r="C725" s="85" t="n"/>
    </row>
    <row r="726" ht="11.25" customHeight="1" s="93">
      <c r="A726" s="90" t="n"/>
      <c r="C726" s="85" t="n"/>
    </row>
    <row r="727" ht="11.25" customHeight="1" s="93">
      <c r="A727" s="90" t="n"/>
      <c r="C727" s="85" t="n"/>
    </row>
    <row r="728" ht="11.25" customHeight="1" s="93">
      <c r="A728" s="90" t="n"/>
      <c r="C728" s="85" t="n"/>
    </row>
    <row r="729" ht="11.25" customHeight="1" s="93">
      <c r="A729" s="90" t="n"/>
      <c r="C729" s="85" t="n"/>
    </row>
    <row r="730" ht="11.25" customHeight="1" s="93">
      <c r="A730" s="90" t="n"/>
      <c r="C730" s="85" t="n"/>
    </row>
    <row r="731" ht="11.25" customHeight="1" s="93">
      <c r="A731" s="90" t="n"/>
      <c r="C731" s="85" t="n"/>
    </row>
    <row r="732" ht="11.25" customHeight="1" s="93">
      <c r="A732" s="90" t="n"/>
      <c r="C732" s="85" t="n"/>
    </row>
    <row r="733" ht="11.25" customHeight="1" s="93">
      <c r="A733" s="90" t="n"/>
      <c r="C733" s="85" t="n"/>
    </row>
    <row r="734" ht="11.25" customHeight="1" s="93">
      <c r="A734" s="90" t="n"/>
      <c r="C734" s="85" t="n"/>
    </row>
    <row r="735" ht="11.25" customHeight="1" s="93">
      <c r="A735" s="90" t="n"/>
      <c r="C735" s="85" t="n"/>
    </row>
    <row r="736" ht="11.25" customHeight="1" s="93">
      <c r="A736" s="90" t="n"/>
      <c r="C736" s="85" t="n"/>
    </row>
    <row r="737" ht="11.25" customHeight="1" s="93">
      <c r="A737" s="90" t="n"/>
      <c r="C737" s="85" t="n"/>
    </row>
    <row r="738" ht="11.25" customHeight="1" s="93">
      <c r="A738" s="90" t="n"/>
      <c r="C738" s="85" t="n"/>
    </row>
    <row r="739" ht="11.25" customHeight="1" s="93">
      <c r="A739" s="90" t="n"/>
      <c r="C739" s="85" t="n"/>
    </row>
    <row r="740" ht="11.25" customHeight="1" s="93">
      <c r="A740" s="90" t="n"/>
      <c r="C740" s="85" t="n"/>
    </row>
    <row r="741" ht="11.25" customHeight="1" s="93">
      <c r="A741" s="90" t="n"/>
      <c r="C741" s="85" t="n"/>
    </row>
    <row r="742" ht="11.25" customHeight="1" s="93">
      <c r="A742" s="90" t="n"/>
      <c r="C742" s="85" t="n"/>
    </row>
    <row r="743" ht="11.25" customHeight="1" s="93">
      <c r="A743" s="90" t="n"/>
      <c r="C743" s="85" t="n"/>
    </row>
    <row r="744" ht="11.25" customHeight="1" s="93">
      <c r="A744" s="90" t="n"/>
      <c r="C744" s="85" t="n"/>
    </row>
    <row r="745" ht="11.25" customHeight="1" s="93">
      <c r="A745" s="90" t="n"/>
      <c r="C745" s="85" t="n"/>
    </row>
    <row r="746" ht="11.25" customHeight="1" s="93">
      <c r="A746" s="90" t="n"/>
      <c r="C746" s="85" t="n"/>
    </row>
    <row r="747" ht="11.25" customHeight="1" s="93">
      <c r="A747" s="90" t="n"/>
      <c r="C747" s="85" t="n"/>
    </row>
    <row r="748" ht="11.25" customHeight="1" s="93">
      <c r="A748" s="90" t="n"/>
      <c r="C748" s="85" t="n"/>
    </row>
    <row r="749" ht="11.25" customHeight="1" s="93">
      <c r="A749" s="90" t="n"/>
      <c r="C749" s="85" t="n"/>
    </row>
    <row r="750" ht="11.25" customHeight="1" s="93">
      <c r="A750" s="90" t="n"/>
      <c r="C750" s="85" t="n"/>
    </row>
    <row r="751" ht="11.25" customHeight="1" s="93">
      <c r="A751" s="90" t="n"/>
      <c r="C751" s="85" t="n"/>
    </row>
    <row r="752" ht="11.25" customHeight="1" s="93">
      <c r="A752" s="90" t="n"/>
      <c r="C752" s="85" t="n"/>
    </row>
    <row r="753" ht="11.25" customHeight="1" s="93">
      <c r="A753" s="90" t="n"/>
      <c r="C753" s="85" t="n"/>
    </row>
    <row r="754" ht="11.25" customHeight="1" s="93">
      <c r="A754" s="90" t="n"/>
      <c r="C754" s="85" t="n"/>
    </row>
    <row r="755" ht="11.25" customHeight="1" s="93">
      <c r="A755" s="90" t="n"/>
      <c r="C755" s="85" t="n"/>
    </row>
    <row r="756" ht="11.25" customHeight="1" s="93">
      <c r="A756" s="90" t="n"/>
      <c r="C756" s="85" t="n"/>
    </row>
    <row r="757" ht="11.25" customHeight="1" s="93">
      <c r="A757" s="90" t="n"/>
      <c r="C757" s="85" t="n"/>
    </row>
    <row r="758" ht="11.25" customHeight="1" s="93">
      <c r="A758" s="90" t="n"/>
      <c r="C758" s="85" t="n"/>
    </row>
    <row r="759" ht="11.25" customHeight="1" s="93">
      <c r="A759" s="90" t="n"/>
      <c r="C759" s="85" t="n"/>
    </row>
    <row r="760" ht="11.25" customHeight="1" s="93">
      <c r="A760" s="90" t="n"/>
      <c r="C760" s="85" t="n"/>
    </row>
    <row r="761" ht="11.25" customHeight="1" s="93">
      <c r="A761" s="90" t="n"/>
      <c r="C761" s="85" t="n"/>
    </row>
    <row r="762" ht="11.25" customHeight="1" s="93">
      <c r="A762" s="90" t="n"/>
      <c r="C762" s="85" t="n"/>
    </row>
    <row r="763" ht="11.25" customHeight="1" s="93">
      <c r="A763" s="90" t="n"/>
      <c r="C763" s="85" t="n"/>
    </row>
    <row r="764" ht="11.25" customHeight="1" s="93">
      <c r="A764" s="90" t="n"/>
      <c r="C764" s="85" t="n"/>
    </row>
    <row r="765" ht="11.25" customHeight="1" s="93">
      <c r="A765" s="90" t="n"/>
      <c r="C765" s="85" t="n"/>
    </row>
    <row r="766" ht="11.25" customHeight="1" s="93">
      <c r="A766" s="90" t="n"/>
      <c r="C766" s="85" t="n"/>
    </row>
    <row r="767" ht="11.25" customHeight="1" s="93">
      <c r="A767" s="90" t="n"/>
      <c r="C767" s="85" t="n"/>
    </row>
    <row r="768" ht="11.25" customHeight="1" s="93">
      <c r="A768" s="90" t="n"/>
      <c r="C768" s="85" t="n"/>
    </row>
    <row r="769" ht="11.25" customHeight="1" s="93">
      <c r="A769" s="90" t="n"/>
      <c r="C769" s="85" t="n"/>
    </row>
    <row r="770" ht="11.25" customHeight="1" s="93">
      <c r="A770" s="90" t="n"/>
      <c r="C770" s="85" t="n"/>
    </row>
    <row r="771" ht="11.25" customHeight="1" s="93">
      <c r="A771" s="90" t="n"/>
      <c r="C771" s="85" t="n"/>
    </row>
    <row r="772" ht="11.25" customHeight="1" s="93">
      <c r="A772" s="90" t="n"/>
      <c r="C772" s="85" t="n"/>
    </row>
    <row r="773" ht="11.25" customHeight="1" s="93">
      <c r="A773" s="90" t="n"/>
      <c r="C773" s="85" t="n"/>
    </row>
    <row r="774" ht="11.25" customHeight="1" s="93">
      <c r="A774" s="90" t="n"/>
      <c r="C774" s="85" t="n"/>
    </row>
    <row r="775" ht="11.25" customHeight="1" s="93">
      <c r="A775" s="90" t="n"/>
      <c r="C775" s="85" t="n"/>
    </row>
    <row r="776" ht="11.25" customHeight="1" s="93">
      <c r="A776" s="90" t="n"/>
      <c r="C776" s="85" t="n"/>
    </row>
    <row r="777" ht="11.25" customHeight="1" s="93">
      <c r="A777" s="90" t="n"/>
      <c r="C777" s="85" t="n"/>
    </row>
    <row r="778" ht="11.25" customHeight="1" s="93">
      <c r="A778" s="90" t="n"/>
      <c r="C778" s="85" t="n"/>
    </row>
    <row r="779" ht="11.25" customHeight="1" s="93">
      <c r="A779" s="90" t="n"/>
      <c r="C779" s="85" t="n"/>
    </row>
    <row r="780" ht="11.25" customHeight="1" s="93">
      <c r="A780" s="90" t="n"/>
      <c r="C780" s="85" t="n"/>
    </row>
    <row r="781" ht="11.25" customHeight="1" s="93">
      <c r="A781" s="90" t="n"/>
      <c r="C781" s="85" t="n"/>
    </row>
    <row r="782" ht="11.25" customHeight="1" s="93">
      <c r="A782" s="90" t="n"/>
      <c r="C782" s="85" t="n"/>
    </row>
    <row r="783" ht="11.25" customHeight="1" s="93">
      <c r="A783" s="90" t="n"/>
      <c r="C783" s="85" t="n"/>
    </row>
    <row r="784" ht="11.25" customHeight="1" s="93">
      <c r="A784" s="90" t="n"/>
      <c r="C784" s="85" t="n"/>
    </row>
    <row r="785" ht="11.25" customHeight="1" s="93">
      <c r="A785" s="90" t="n"/>
      <c r="C785" s="85" t="n"/>
    </row>
    <row r="786" ht="11.25" customHeight="1" s="93">
      <c r="A786" s="90" t="n"/>
      <c r="C786" s="85" t="n"/>
    </row>
    <row r="787" ht="11.25" customHeight="1" s="93">
      <c r="A787" s="90" t="n"/>
      <c r="C787" s="85" t="n"/>
    </row>
    <row r="788" ht="11.25" customHeight="1" s="93">
      <c r="A788" s="90" t="n"/>
      <c r="C788" s="85" t="n"/>
    </row>
    <row r="789" ht="11.25" customHeight="1" s="93">
      <c r="A789" s="90" t="n"/>
      <c r="C789" s="85" t="n"/>
    </row>
    <row r="790" ht="11.25" customHeight="1" s="93">
      <c r="A790" s="90" t="n"/>
      <c r="C790" s="85" t="n"/>
    </row>
    <row r="791" ht="11.25" customHeight="1" s="93">
      <c r="A791" s="90" t="n"/>
      <c r="C791" s="85" t="n"/>
    </row>
    <row r="792" ht="11.25" customHeight="1" s="93">
      <c r="A792" s="90" t="n"/>
      <c r="C792" s="85" t="n"/>
    </row>
    <row r="793" ht="11.25" customHeight="1" s="93">
      <c r="A793" s="90" t="n"/>
      <c r="C793" s="85" t="n"/>
    </row>
    <row r="794" ht="11.25" customHeight="1" s="93">
      <c r="A794" s="90" t="n"/>
      <c r="C794" s="85" t="n"/>
    </row>
    <row r="795" ht="11.25" customHeight="1" s="93">
      <c r="A795" s="90" t="n"/>
      <c r="C795" s="85" t="n"/>
    </row>
    <row r="796" ht="11.25" customHeight="1" s="93">
      <c r="A796" s="90" t="n"/>
      <c r="C796" s="85" t="n"/>
    </row>
    <row r="797" ht="11.25" customHeight="1" s="93">
      <c r="A797" s="90" t="n"/>
      <c r="C797" s="85" t="n"/>
    </row>
    <row r="798" ht="11.25" customHeight="1" s="93">
      <c r="A798" s="90" t="n"/>
      <c r="C798" s="85" t="n"/>
    </row>
    <row r="799" ht="11.25" customHeight="1" s="93">
      <c r="A799" s="90" t="n"/>
      <c r="C799" s="85" t="n"/>
    </row>
    <row r="800" ht="11.25" customHeight="1" s="93">
      <c r="A800" s="90" t="n"/>
      <c r="C800" s="85" t="n"/>
    </row>
    <row r="801" ht="11.25" customHeight="1" s="93">
      <c r="A801" s="90" t="n"/>
      <c r="C801" s="85" t="n"/>
    </row>
    <row r="802" ht="11.25" customHeight="1" s="93">
      <c r="A802" s="90" t="n"/>
      <c r="C802" s="85" t="n"/>
    </row>
    <row r="803" ht="11.25" customHeight="1" s="93">
      <c r="A803" s="90" t="n"/>
      <c r="C803" s="85" t="n"/>
    </row>
    <row r="804" ht="11.25" customHeight="1" s="93">
      <c r="A804" s="90" t="n"/>
      <c r="C804" s="85" t="n"/>
    </row>
    <row r="805" ht="11.25" customHeight="1" s="93">
      <c r="A805" s="90" t="n"/>
      <c r="C805" s="85" t="n"/>
    </row>
    <row r="806" ht="11.25" customHeight="1" s="93">
      <c r="A806" s="90" t="n"/>
      <c r="C806" s="85" t="n"/>
    </row>
    <row r="807" ht="11.25" customHeight="1" s="93">
      <c r="A807" s="90" t="n"/>
      <c r="C807" s="85" t="n"/>
    </row>
    <row r="808" ht="11.25" customHeight="1" s="93">
      <c r="A808" s="90" t="n"/>
      <c r="C808" s="85" t="n"/>
    </row>
    <row r="809" ht="11.25" customHeight="1" s="93">
      <c r="A809" s="90" t="n"/>
      <c r="C809" s="85" t="n"/>
    </row>
    <row r="810" ht="11.25" customHeight="1" s="93">
      <c r="A810" s="90" t="n"/>
      <c r="C810" s="85" t="n"/>
    </row>
    <row r="811" ht="11.25" customHeight="1" s="93">
      <c r="A811" s="90" t="n"/>
      <c r="C811" s="85" t="n"/>
    </row>
    <row r="812" ht="11.25" customHeight="1" s="93">
      <c r="A812" s="90" t="n"/>
      <c r="C812" s="85" t="n"/>
    </row>
    <row r="813" ht="11.25" customHeight="1" s="93">
      <c r="A813" s="90" t="n"/>
      <c r="C813" s="85" t="n"/>
    </row>
    <row r="814" ht="11.25" customHeight="1" s="93">
      <c r="A814" s="90" t="n"/>
      <c r="C814" s="85" t="n"/>
    </row>
    <row r="815" ht="11.25" customHeight="1" s="93">
      <c r="A815" s="90" t="n"/>
      <c r="C815" s="85" t="n"/>
    </row>
    <row r="816" ht="11.25" customHeight="1" s="93">
      <c r="A816" s="90" t="n"/>
      <c r="C816" s="85" t="n"/>
    </row>
    <row r="817" ht="11.25" customHeight="1" s="93">
      <c r="A817" s="90" t="n"/>
      <c r="C817" s="85" t="n"/>
    </row>
    <row r="818" ht="11.25" customHeight="1" s="93">
      <c r="A818" s="90" t="n"/>
      <c r="C818" s="85" t="n"/>
    </row>
    <row r="819" ht="11.25" customHeight="1" s="93">
      <c r="A819" s="90" t="n"/>
      <c r="C819" s="85" t="n"/>
    </row>
    <row r="820" ht="11.25" customHeight="1" s="93">
      <c r="A820" s="90" t="n"/>
      <c r="C820" s="85" t="n"/>
    </row>
    <row r="821" ht="11.25" customHeight="1" s="93">
      <c r="A821" s="90" t="n"/>
      <c r="C821" s="85" t="n"/>
    </row>
    <row r="822" ht="11.25" customHeight="1" s="93">
      <c r="A822" s="90" t="n"/>
      <c r="C822" s="85" t="n"/>
    </row>
    <row r="823" ht="11.25" customHeight="1" s="93">
      <c r="A823" s="90" t="n"/>
      <c r="C823" s="85" t="n"/>
    </row>
    <row r="824" ht="11.25" customHeight="1" s="93">
      <c r="A824" s="90" t="n"/>
      <c r="C824" s="85" t="n"/>
    </row>
    <row r="825" ht="11.25" customHeight="1" s="93">
      <c r="A825" s="90" t="n"/>
      <c r="C825" s="85" t="n"/>
    </row>
    <row r="826" ht="11.25" customHeight="1" s="93">
      <c r="A826" s="90" t="n"/>
      <c r="C826" s="85" t="n"/>
    </row>
    <row r="827" ht="11.25" customHeight="1" s="93">
      <c r="A827" s="90" t="n"/>
      <c r="C827" s="85" t="n"/>
    </row>
    <row r="828" ht="11.25" customHeight="1" s="93">
      <c r="A828" s="90" t="n"/>
      <c r="C828" s="85" t="n"/>
    </row>
    <row r="829" ht="11.25" customHeight="1" s="93">
      <c r="A829" s="90" t="n"/>
      <c r="C829" s="85" t="n"/>
    </row>
    <row r="830" ht="11.25" customHeight="1" s="93">
      <c r="A830" s="90" t="n"/>
      <c r="C830" s="85" t="n"/>
    </row>
    <row r="831" ht="11.25" customHeight="1" s="93">
      <c r="A831" s="90" t="n"/>
      <c r="C831" s="85" t="n"/>
    </row>
    <row r="832" ht="11.25" customHeight="1" s="93">
      <c r="A832" s="90" t="n"/>
      <c r="C832" s="85" t="n"/>
    </row>
    <row r="833" ht="11.25" customHeight="1" s="93">
      <c r="A833" s="90" t="n"/>
      <c r="C833" s="85" t="n"/>
    </row>
    <row r="834" ht="11.25" customHeight="1" s="93">
      <c r="A834" s="90" t="n"/>
      <c r="C834" s="85" t="n"/>
    </row>
    <row r="835" ht="11.25" customHeight="1" s="93">
      <c r="A835" s="90" t="n"/>
      <c r="C835" s="85" t="n"/>
    </row>
    <row r="836" ht="11.25" customHeight="1" s="93">
      <c r="A836" s="90" t="n"/>
      <c r="C836" s="85" t="n"/>
    </row>
    <row r="837" ht="11.25" customHeight="1" s="93">
      <c r="A837" s="90" t="n"/>
      <c r="C837" s="85" t="n"/>
    </row>
    <row r="838" ht="11.25" customHeight="1" s="93">
      <c r="A838" s="90" t="n"/>
      <c r="C838" s="85" t="n"/>
    </row>
    <row r="839" ht="11.25" customHeight="1" s="93">
      <c r="A839" s="90" t="n"/>
      <c r="C839" s="85" t="n"/>
    </row>
    <row r="840" ht="11.25" customHeight="1" s="93">
      <c r="A840" s="90" t="n"/>
      <c r="C840" s="85" t="n"/>
    </row>
    <row r="841" ht="11.25" customHeight="1" s="93">
      <c r="A841" s="90" t="n"/>
      <c r="C841" s="85" t="n"/>
    </row>
    <row r="842" ht="11.25" customHeight="1" s="93">
      <c r="A842" s="90" t="n"/>
      <c r="C842" s="85" t="n"/>
    </row>
    <row r="843" ht="11.25" customHeight="1" s="93">
      <c r="A843" s="90" t="n"/>
      <c r="C843" s="85" t="n"/>
    </row>
    <row r="844" ht="11.25" customHeight="1" s="93">
      <c r="A844" s="90" t="n"/>
      <c r="C844" s="85" t="n"/>
    </row>
    <row r="845" ht="11.25" customHeight="1" s="93">
      <c r="A845" s="90" t="n"/>
      <c r="C845" s="85" t="n"/>
    </row>
    <row r="846" ht="11.25" customHeight="1" s="93">
      <c r="A846" s="90" t="n"/>
      <c r="C846" s="85" t="n"/>
    </row>
    <row r="847" ht="11.25" customHeight="1" s="93">
      <c r="A847" s="90" t="n"/>
      <c r="C847" s="85" t="n"/>
    </row>
    <row r="848" ht="11.25" customHeight="1" s="93">
      <c r="A848" s="90" t="n"/>
      <c r="C848" s="85" t="n"/>
    </row>
    <row r="849" ht="11.25" customHeight="1" s="93">
      <c r="A849" s="90" t="n"/>
      <c r="C849" s="85" t="n"/>
    </row>
    <row r="850" ht="11.25" customHeight="1" s="93">
      <c r="A850" s="90" t="n"/>
      <c r="C850" s="85" t="n"/>
    </row>
    <row r="851" ht="11.25" customHeight="1" s="93">
      <c r="A851" s="90" t="n"/>
      <c r="C851" s="85" t="n"/>
    </row>
    <row r="852" ht="11.25" customHeight="1" s="93">
      <c r="A852" s="90" t="n"/>
      <c r="C852" s="85" t="n"/>
    </row>
    <row r="853" ht="11.25" customHeight="1" s="93">
      <c r="A853" s="90" t="n"/>
      <c r="C853" s="85" t="n"/>
    </row>
    <row r="854" ht="11.25" customHeight="1" s="93">
      <c r="A854" s="90" t="n"/>
      <c r="C854" s="85" t="n"/>
    </row>
    <row r="855" ht="11.25" customHeight="1" s="93">
      <c r="A855" s="90" t="n"/>
      <c r="C855" s="85" t="n"/>
    </row>
    <row r="856" ht="11.25" customHeight="1" s="93">
      <c r="A856" s="90" t="n"/>
      <c r="C856" s="85" t="n"/>
    </row>
    <row r="857" ht="11.25" customHeight="1" s="93">
      <c r="A857" s="90" t="n"/>
      <c r="C857" s="85" t="n"/>
    </row>
    <row r="858" ht="11.25" customHeight="1" s="93">
      <c r="A858" s="90" t="n"/>
      <c r="C858" s="85" t="n"/>
    </row>
    <row r="859" ht="11.25" customHeight="1" s="93">
      <c r="A859" s="90" t="n"/>
      <c r="C859" s="85" t="n"/>
    </row>
    <row r="860" ht="11.25" customHeight="1" s="93">
      <c r="A860" s="90" t="n"/>
      <c r="C860" s="85" t="n"/>
    </row>
    <row r="861" ht="11.25" customHeight="1" s="93">
      <c r="A861" s="90" t="n"/>
      <c r="C861" s="85" t="n"/>
    </row>
    <row r="862" ht="11.25" customHeight="1" s="93">
      <c r="A862" s="90" t="n"/>
      <c r="C862" s="85" t="n"/>
    </row>
    <row r="863" ht="11.25" customHeight="1" s="93">
      <c r="A863" s="90" t="n"/>
      <c r="C863" s="85" t="n"/>
    </row>
    <row r="864" ht="11.25" customHeight="1" s="93">
      <c r="A864" s="90" t="n"/>
      <c r="C864" s="85" t="n"/>
    </row>
    <row r="865" ht="11.25" customHeight="1" s="93">
      <c r="A865" s="90" t="n"/>
      <c r="C865" s="85" t="n"/>
    </row>
    <row r="866" ht="11.25" customHeight="1" s="93">
      <c r="A866" s="90" t="n"/>
      <c r="C866" s="85" t="n"/>
    </row>
    <row r="867" ht="11.25" customHeight="1" s="93">
      <c r="A867" s="90" t="n"/>
      <c r="C867" s="85" t="n"/>
    </row>
    <row r="868" ht="11.25" customHeight="1" s="93">
      <c r="A868" s="90" t="n"/>
      <c r="C868" s="85" t="n"/>
    </row>
    <row r="869" ht="11.25" customHeight="1" s="93">
      <c r="A869" s="90" t="n"/>
      <c r="C869" s="85" t="n"/>
    </row>
    <row r="870" ht="11.25" customHeight="1" s="93">
      <c r="A870" s="90" t="n"/>
      <c r="C870" s="85" t="n"/>
    </row>
    <row r="871" ht="11.25" customHeight="1" s="93">
      <c r="A871" s="90" t="n"/>
      <c r="C871" s="85" t="n"/>
    </row>
    <row r="872" ht="11.25" customHeight="1" s="93">
      <c r="A872" s="90" t="n"/>
      <c r="C872" s="85" t="n"/>
    </row>
    <row r="873" ht="11.25" customHeight="1" s="93">
      <c r="A873" s="90" t="n"/>
      <c r="C873" s="85" t="n"/>
    </row>
    <row r="874" ht="11.25" customHeight="1" s="93">
      <c r="A874" s="90" t="n"/>
      <c r="C874" s="85" t="n"/>
    </row>
    <row r="875" ht="11.25" customHeight="1" s="93">
      <c r="A875" s="90" t="n"/>
      <c r="C875" s="85" t="n"/>
    </row>
    <row r="876" ht="11.25" customHeight="1" s="93">
      <c r="A876" s="90" t="n"/>
      <c r="C876" s="85" t="n"/>
    </row>
    <row r="877" ht="11.25" customHeight="1" s="93">
      <c r="A877" s="90" t="n"/>
      <c r="C877" s="85" t="n"/>
    </row>
    <row r="878" ht="11.25" customHeight="1" s="93">
      <c r="A878" s="90" t="n"/>
      <c r="C878" s="85" t="n"/>
    </row>
    <row r="879" ht="11.25" customHeight="1" s="93">
      <c r="A879" s="90" t="n"/>
      <c r="C879" s="85" t="n"/>
    </row>
    <row r="880" ht="11.25" customHeight="1" s="93">
      <c r="A880" s="90" t="n"/>
      <c r="C880" s="85" t="n"/>
    </row>
    <row r="881" ht="11.25" customHeight="1" s="93">
      <c r="A881" s="90" t="n"/>
      <c r="C881" s="85" t="n"/>
    </row>
    <row r="882" ht="11.25" customHeight="1" s="93">
      <c r="A882" s="90" t="n"/>
      <c r="C882" s="85" t="n"/>
    </row>
    <row r="883" ht="11.25" customHeight="1" s="93">
      <c r="A883" s="90" t="n"/>
      <c r="C883" s="85" t="n"/>
    </row>
    <row r="884" ht="11.25" customHeight="1" s="93">
      <c r="A884" s="90" t="n"/>
      <c r="C884" s="85" t="n"/>
    </row>
    <row r="885" ht="11.25" customHeight="1" s="93">
      <c r="A885" s="90" t="n"/>
      <c r="C885" s="85" t="n"/>
    </row>
    <row r="886" ht="11.25" customHeight="1" s="93">
      <c r="A886" s="90" t="n"/>
      <c r="C886" s="85" t="n"/>
    </row>
    <row r="887" ht="11.25" customHeight="1" s="93">
      <c r="A887" s="90" t="n"/>
      <c r="C887" s="85" t="n"/>
    </row>
    <row r="888" ht="11.25" customHeight="1" s="93">
      <c r="A888" s="90" t="n"/>
      <c r="C888" s="85" t="n"/>
    </row>
    <row r="889" ht="11.25" customHeight="1" s="93">
      <c r="A889" s="90" t="n"/>
      <c r="C889" s="85" t="n"/>
    </row>
    <row r="890" ht="11.25" customHeight="1" s="93">
      <c r="A890" s="90" t="n"/>
      <c r="C890" s="85" t="n"/>
    </row>
    <row r="891" ht="11.25" customHeight="1" s="93">
      <c r="A891" s="90" t="n"/>
      <c r="C891" s="85" t="n"/>
    </row>
    <row r="892" ht="11.25" customHeight="1" s="93">
      <c r="A892" s="90" t="n"/>
      <c r="C892" s="85" t="n"/>
    </row>
    <row r="893" ht="11.25" customHeight="1" s="93">
      <c r="A893" s="90" t="n"/>
      <c r="C893" s="85" t="n"/>
    </row>
    <row r="894" ht="11.25" customHeight="1" s="93">
      <c r="A894" s="90" t="n"/>
      <c r="C894" s="85" t="n"/>
    </row>
    <row r="895" ht="11.25" customHeight="1" s="93">
      <c r="A895" s="90" t="n"/>
      <c r="C895" s="85" t="n"/>
    </row>
    <row r="896" ht="11.25" customHeight="1" s="93">
      <c r="A896" s="90" t="n"/>
      <c r="C896" s="85" t="n"/>
    </row>
    <row r="897" ht="11.25" customHeight="1" s="93">
      <c r="A897" s="90" t="n"/>
      <c r="C897" s="85" t="n"/>
    </row>
    <row r="898" ht="11.25" customHeight="1" s="93">
      <c r="A898" s="90" t="n"/>
      <c r="C898" s="85" t="n"/>
    </row>
    <row r="899" ht="11.25" customHeight="1" s="93">
      <c r="A899" s="90" t="n"/>
      <c r="C899" s="85" t="n"/>
    </row>
    <row r="900" ht="11.25" customHeight="1" s="93">
      <c r="A900" s="90" t="n"/>
      <c r="C900" s="85" t="n"/>
    </row>
    <row r="901" ht="11.25" customHeight="1" s="93">
      <c r="A901" s="90" t="n"/>
      <c r="C901" s="85" t="n"/>
    </row>
    <row r="902" ht="11.25" customHeight="1" s="93">
      <c r="A902" s="90" t="n"/>
      <c r="C902" s="85" t="n"/>
    </row>
    <row r="903" ht="11.25" customHeight="1" s="93">
      <c r="A903" s="90" t="n"/>
      <c r="C903" s="85" t="n"/>
    </row>
    <row r="904" ht="11.25" customHeight="1" s="93">
      <c r="A904" s="90" t="n"/>
      <c r="C904" s="85" t="n"/>
    </row>
    <row r="905" ht="11.25" customHeight="1" s="93">
      <c r="A905" s="90" t="n"/>
      <c r="C905" s="85" t="n"/>
    </row>
    <row r="906" ht="11.25" customHeight="1" s="93">
      <c r="A906" s="90" t="n"/>
      <c r="C906" s="85" t="n"/>
    </row>
    <row r="907" ht="11.25" customHeight="1" s="93">
      <c r="A907" s="90" t="n"/>
      <c r="C907" s="85" t="n"/>
    </row>
    <row r="908" ht="11.25" customHeight="1" s="93">
      <c r="A908" s="90" t="n"/>
      <c r="C908" s="85" t="n"/>
    </row>
    <row r="909" ht="11.25" customHeight="1" s="93">
      <c r="A909" s="90" t="n"/>
      <c r="C909" s="85" t="n"/>
    </row>
    <row r="910" ht="11.25" customHeight="1" s="93">
      <c r="A910" s="90" t="n"/>
      <c r="C910" s="85" t="n"/>
    </row>
    <row r="911" ht="11.25" customHeight="1" s="93">
      <c r="A911" s="90" t="n"/>
      <c r="C911" s="85" t="n"/>
    </row>
    <row r="912" ht="11.25" customHeight="1" s="93">
      <c r="A912" s="90" t="n"/>
      <c r="C912" s="85" t="n"/>
    </row>
    <row r="913" ht="11.25" customHeight="1" s="93">
      <c r="A913" s="90" t="n"/>
      <c r="C913" s="85" t="n"/>
    </row>
    <row r="914" ht="11.25" customHeight="1" s="93">
      <c r="A914" s="90" t="n"/>
      <c r="C914" s="85" t="n"/>
    </row>
    <row r="915" ht="11.25" customHeight="1" s="93">
      <c r="A915" s="90" t="n"/>
      <c r="C915" s="85" t="n"/>
    </row>
    <row r="916" ht="11.25" customHeight="1" s="93">
      <c r="A916" s="90" t="n"/>
      <c r="C916" s="85" t="n"/>
    </row>
    <row r="917" ht="11.25" customHeight="1" s="93">
      <c r="A917" s="90" t="n"/>
      <c r="C917" s="85" t="n"/>
    </row>
    <row r="918" ht="11.25" customHeight="1" s="93">
      <c r="A918" s="90" t="n"/>
      <c r="C918" s="85" t="n"/>
    </row>
    <row r="919" ht="11.25" customHeight="1" s="93">
      <c r="A919" s="90" t="n"/>
      <c r="C919" s="85" t="n"/>
    </row>
    <row r="920" ht="11.25" customHeight="1" s="93">
      <c r="A920" s="90" t="n"/>
      <c r="C920" s="85" t="n"/>
    </row>
    <row r="921" ht="11.25" customHeight="1" s="93">
      <c r="A921" s="90" t="n"/>
      <c r="C921" s="85" t="n"/>
    </row>
    <row r="922" ht="11.25" customHeight="1" s="93">
      <c r="A922" s="90" t="n"/>
      <c r="C922" s="85" t="n"/>
    </row>
    <row r="923" ht="11.25" customHeight="1" s="93">
      <c r="A923" s="90" t="n"/>
      <c r="C923" s="85" t="n"/>
    </row>
    <row r="924" ht="11.25" customHeight="1" s="93">
      <c r="A924" s="90" t="n"/>
      <c r="C924" s="85" t="n"/>
    </row>
    <row r="925" ht="11.25" customHeight="1" s="93">
      <c r="A925" s="90" t="n"/>
      <c r="C925" s="85" t="n"/>
    </row>
    <row r="926" ht="11.25" customHeight="1" s="93">
      <c r="A926" s="90" t="n"/>
      <c r="C926" s="85" t="n"/>
    </row>
    <row r="927" ht="11.25" customHeight="1" s="93">
      <c r="A927" s="90" t="n"/>
      <c r="C927" s="85" t="n"/>
    </row>
    <row r="928" ht="11.25" customHeight="1" s="93">
      <c r="A928" s="90" t="n"/>
      <c r="C928" s="85" t="n"/>
    </row>
    <row r="929" ht="11.25" customHeight="1" s="93">
      <c r="A929" s="90" t="n"/>
      <c r="C929" s="85" t="n"/>
    </row>
    <row r="930" ht="11.25" customHeight="1" s="93">
      <c r="A930" s="90" t="n"/>
      <c r="C930" s="85" t="n"/>
    </row>
    <row r="931" ht="11.25" customHeight="1" s="93">
      <c r="A931" s="90" t="n"/>
      <c r="C931" s="85" t="n"/>
    </row>
    <row r="932" ht="11.25" customHeight="1" s="93">
      <c r="A932" s="90" t="n"/>
      <c r="C932" s="85" t="n"/>
    </row>
    <row r="933" ht="11.25" customHeight="1" s="93">
      <c r="A933" s="90" t="n"/>
      <c r="C933" s="85" t="n"/>
    </row>
    <row r="934" ht="11.25" customHeight="1" s="93">
      <c r="A934" s="90" t="n"/>
      <c r="C934" s="85" t="n"/>
    </row>
    <row r="935" ht="11.25" customHeight="1" s="93">
      <c r="A935" s="90" t="n"/>
      <c r="C935" s="85" t="n"/>
    </row>
    <row r="936" ht="11.25" customHeight="1" s="93">
      <c r="A936" s="90" t="n"/>
      <c r="C936" s="85" t="n"/>
    </row>
    <row r="937" ht="11.25" customHeight="1" s="93">
      <c r="A937" s="90" t="n"/>
      <c r="C937" s="85" t="n"/>
    </row>
    <row r="938" ht="11.25" customHeight="1" s="93">
      <c r="A938" s="90" t="n"/>
      <c r="C938" s="85" t="n"/>
    </row>
    <row r="939" ht="11.25" customHeight="1" s="93">
      <c r="A939" s="90" t="n"/>
      <c r="C939" s="85" t="n"/>
    </row>
    <row r="940" ht="11.25" customHeight="1" s="93">
      <c r="A940" s="90" t="n"/>
      <c r="C940" s="85" t="n"/>
    </row>
    <row r="941" ht="11.25" customHeight="1" s="93">
      <c r="A941" s="90" t="n"/>
      <c r="C941" s="85" t="n"/>
    </row>
    <row r="942" ht="11.25" customHeight="1" s="93">
      <c r="A942" s="90" t="n"/>
      <c r="C942" s="85" t="n"/>
    </row>
    <row r="943" ht="11.25" customHeight="1" s="93">
      <c r="A943" s="90" t="n"/>
      <c r="C943" s="85" t="n"/>
    </row>
    <row r="944" ht="11.25" customHeight="1" s="93">
      <c r="A944" s="90" t="n"/>
      <c r="C944" s="85" t="n"/>
    </row>
    <row r="945" ht="11.25" customHeight="1" s="93">
      <c r="A945" s="90" t="n"/>
      <c r="C945" s="85" t="n"/>
    </row>
    <row r="946" ht="11.25" customHeight="1" s="93">
      <c r="A946" s="90" t="n"/>
      <c r="C946" s="85" t="n"/>
    </row>
    <row r="947" ht="11.25" customHeight="1" s="93">
      <c r="A947" s="90" t="n"/>
      <c r="C947" s="85" t="n"/>
    </row>
    <row r="948" ht="11.25" customHeight="1" s="93">
      <c r="A948" s="90" t="n"/>
      <c r="C948" s="85" t="n"/>
    </row>
    <row r="949" ht="11.25" customHeight="1" s="93">
      <c r="A949" s="90" t="n"/>
      <c r="C949" s="85" t="n"/>
    </row>
    <row r="950" ht="11.25" customHeight="1" s="93">
      <c r="A950" s="90" t="n"/>
      <c r="C950" s="85" t="n"/>
    </row>
    <row r="951" ht="11.25" customHeight="1" s="93">
      <c r="A951" s="90" t="n"/>
      <c r="C951" s="85" t="n"/>
    </row>
    <row r="952" ht="11.25" customHeight="1" s="93">
      <c r="A952" s="90" t="n"/>
      <c r="C952" s="85" t="n"/>
    </row>
    <row r="953" ht="11.25" customHeight="1" s="93">
      <c r="A953" s="90" t="n"/>
      <c r="C953" s="85" t="n"/>
    </row>
    <row r="954" ht="11.25" customHeight="1" s="93">
      <c r="A954" s="90" t="n"/>
      <c r="C954" s="85" t="n"/>
    </row>
    <row r="955" ht="11.25" customHeight="1" s="93">
      <c r="A955" s="90" t="n"/>
      <c r="C955" s="85" t="n"/>
    </row>
    <row r="956" ht="11.25" customHeight="1" s="93">
      <c r="A956" s="90" t="n"/>
      <c r="C956" s="85" t="n"/>
    </row>
    <row r="957" ht="11.25" customHeight="1" s="93">
      <c r="A957" s="90" t="n"/>
      <c r="C957" s="85" t="n"/>
    </row>
    <row r="958" ht="11.25" customHeight="1" s="93">
      <c r="A958" s="90" t="n"/>
      <c r="C958" s="85" t="n"/>
    </row>
    <row r="959" ht="11.25" customHeight="1" s="93">
      <c r="A959" s="90" t="n"/>
      <c r="C959" s="85" t="n"/>
    </row>
    <row r="960" ht="11.25" customHeight="1" s="93">
      <c r="A960" s="90" t="n"/>
      <c r="C960" s="85" t="n"/>
    </row>
    <row r="961" ht="11.25" customHeight="1" s="93">
      <c r="A961" s="90" t="n"/>
      <c r="C961" s="85" t="n"/>
    </row>
    <row r="962" ht="11.25" customHeight="1" s="93">
      <c r="A962" s="90" t="n"/>
      <c r="C962" s="85" t="n"/>
    </row>
    <row r="963" ht="11.25" customHeight="1" s="93">
      <c r="A963" s="90" t="n"/>
      <c r="C963" s="85" t="n"/>
    </row>
    <row r="964" ht="11.25" customHeight="1" s="93">
      <c r="A964" s="90" t="n"/>
      <c r="C964" s="85" t="n"/>
    </row>
    <row r="965" ht="11.25" customHeight="1" s="93">
      <c r="A965" s="90" t="n"/>
      <c r="C965" s="85" t="n"/>
    </row>
    <row r="966" ht="11.25" customHeight="1" s="93">
      <c r="A966" s="90" t="n"/>
      <c r="C966" s="85" t="n"/>
    </row>
    <row r="967" ht="11.25" customHeight="1" s="93">
      <c r="A967" s="90" t="n"/>
      <c r="C967" s="85" t="n"/>
    </row>
    <row r="968" ht="11.25" customHeight="1" s="93">
      <c r="A968" s="90" t="n"/>
      <c r="C968" s="85" t="n"/>
    </row>
    <row r="969" ht="11.25" customHeight="1" s="93">
      <c r="A969" s="90" t="n"/>
      <c r="C969" s="85" t="n"/>
    </row>
    <row r="970" ht="11.25" customHeight="1" s="93">
      <c r="A970" s="90" t="n"/>
      <c r="C970" s="85" t="n"/>
    </row>
    <row r="971" ht="11.25" customHeight="1" s="93">
      <c r="A971" s="90" t="n"/>
      <c r="C971" s="85" t="n"/>
    </row>
    <row r="972" ht="11.25" customHeight="1" s="93">
      <c r="A972" s="90" t="n"/>
      <c r="C972" s="85" t="n"/>
    </row>
    <row r="973" ht="11.25" customHeight="1" s="93">
      <c r="A973" s="90" t="n"/>
      <c r="C973" s="85" t="n"/>
    </row>
    <row r="974" ht="11.25" customHeight="1" s="93">
      <c r="A974" s="90" t="n"/>
      <c r="C974" s="85" t="n"/>
    </row>
    <row r="975" ht="11.25" customHeight="1" s="93">
      <c r="A975" s="90" t="n"/>
      <c r="C975" s="85" t="n"/>
    </row>
    <row r="976" ht="11.25" customHeight="1" s="93">
      <c r="A976" s="90" t="n"/>
      <c r="C976" s="85" t="n"/>
    </row>
    <row r="977" ht="11.25" customHeight="1" s="93">
      <c r="A977" s="90" t="n"/>
      <c r="C977" s="85" t="n"/>
    </row>
    <row r="978" ht="11.25" customHeight="1" s="93">
      <c r="A978" s="90" t="n"/>
      <c r="C978" s="85" t="n"/>
    </row>
    <row r="979" ht="11.25" customHeight="1" s="93">
      <c r="A979" s="90" t="n"/>
      <c r="C979" s="85" t="n"/>
    </row>
    <row r="980" ht="11.25" customHeight="1" s="93">
      <c r="A980" s="90" t="n"/>
      <c r="C980" s="85" t="n"/>
    </row>
    <row r="981" ht="11.25" customHeight="1" s="93">
      <c r="A981" s="90" t="n"/>
      <c r="C981" s="85" t="n"/>
    </row>
    <row r="982" ht="11.25" customHeight="1" s="93">
      <c r="A982" s="90" t="n"/>
      <c r="C982" s="85" t="n"/>
    </row>
    <row r="983" ht="11.25" customHeight="1" s="93">
      <c r="A983" s="90" t="n"/>
      <c r="C983" s="85" t="n"/>
    </row>
    <row r="984" ht="11.25" customHeight="1" s="93">
      <c r="A984" s="90" t="n"/>
      <c r="C984" s="85" t="n"/>
    </row>
    <row r="985" ht="11.25" customHeight="1" s="93">
      <c r="A985" s="90" t="n"/>
      <c r="C985" s="85" t="n"/>
    </row>
    <row r="986" ht="11.25" customHeight="1" s="93">
      <c r="A986" s="90" t="n"/>
      <c r="C986" s="85" t="n"/>
    </row>
    <row r="987" ht="11.25" customHeight="1" s="93">
      <c r="A987" s="90" t="n"/>
      <c r="C987" s="85" t="n"/>
    </row>
    <row r="988" ht="11.25" customHeight="1" s="93">
      <c r="A988" s="90" t="n"/>
      <c r="C988" s="85" t="n"/>
    </row>
    <row r="989" ht="11.25" customHeight="1" s="93">
      <c r="A989" s="90" t="n"/>
      <c r="C989" s="85" t="n"/>
    </row>
    <row r="990" ht="11.25" customHeight="1" s="93">
      <c r="A990" s="90" t="n"/>
      <c r="C990" s="85" t="n"/>
    </row>
    <row r="991" ht="11.25" customHeight="1" s="93">
      <c r="A991" s="90" t="n"/>
      <c r="C991" s="85" t="n"/>
    </row>
    <row r="992" ht="11.25" customHeight="1" s="93">
      <c r="A992" s="90" t="n"/>
      <c r="C992" s="85" t="n"/>
    </row>
    <row r="993" ht="11.25" customHeight="1" s="93">
      <c r="A993" s="90" t="n"/>
      <c r="C993" s="85" t="n"/>
    </row>
    <row r="994" ht="11.25" customHeight="1" s="93">
      <c r="A994" s="90" t="n"/>
      <c r="C994" s="85" t="n"/>
    </row>
    <row r="995" ht="11.25" customHeight="1" s="93">
      <c r="A995" s="90" t="n"/>
      <c r="C995" s="85" t="n"/>
    </row>
    <row r="996" ht="11.25" customHeight="1" s="93">
      <c r="A996" s="90" t="n"/>
      <c r="C996" s="85" t="n"/>
    </row>
    <row r="997" ht="11.25" customHeight="1" s="93">
      <c r="A997" s="90" t="n"/>
      <c r="C997" s="85" t="n"/>
    </row>
    <row r="998" ht="11.25" customHeight="1" s="93">
      <c r="A998" s="90" t="n"/>
      <c r="C998" s="85" t="n"/>
    </row>
    <row r="999" ht="11.25" customHeight="1" s="93">
      <c r="A999" s="90" t="n"/>
      <c r="C999" s="85" t="n"/>
    </row>
    <row r="1000" ht="11.25" customHeight="1" s="93">
      <c r="A1000" s="90" t="n"/>
      <c r="C1000" s="85" t="n"/>
    </row>
    <row r="1001" ht="11.25" customHeight="1" s="93">
      <c r="A1001" s="90" t="n"/>
      <c r="C1001" s="85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Narissa Zajdlic</dc:creator>
  <dcterms:created xsi:type="dcterms:W3CDTF">2026-05-26T02:34:27Z</dcterms:created>
  <dcterms:modified xsi:type="dcterms:W3CDTF">2026-06-09T20:02:49Z</dcterms:modified>
</cp:coreProperties>
</file>